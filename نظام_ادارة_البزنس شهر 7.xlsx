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Nskly\"/>
    </mc:Choice>
  </mc:AlternateContent>
  <xr:revisionPtr revIDLastSave="0" documentId="13_ncr:1_{D9ADE209-691A-4626-8E88-9E24601D337A}" xr6:coauthVersionLast="36" xr6:coauthVersionMax="47" xr10:uidLastSave="{00000000-0000-0000-0000-000000000000}"/>
  <bookViews>
    <workbookView minimized="1" xWindow="0" yWindow="0" windowWidth="19200" windowHeight="6230" tabRatio="500" activeTab="3" xr2:uid="{00000000-000D-0000-FFFF-FFFF00000000}"/>
  </bookViews>
  <sheets>
    <sheet name="لوحة التحكم" sheetId="1" r:id="rId1"/>
    <sheet name="الطلبات" sheetId="2" r:id="rId2"/>
    <sheet name="الإعلانات" sheetId="3" r:id="rId3"/>
    <sheet name="الموظفين" sheetId="4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62" i="2" l="1"/>
  <c r="Q62" i="2" s="1"/>
  <c r="M62" i="2"/>
  <c r="O62" i="2" s="1"/>
  <c r="P62" i="2" s="1"/>
  <c r="J46" i="2"/>
  <c r="M46" i="2"/>
  <c r="O46" i="2" s="1"/>
  <c r="P46" i="2" s="1"/>
  <c r="Q46" i="2"/>
  <c r="J42" i="2"/>
  <c r="M42" i="2"/>
  <c r="O42" i="2" s="1"/>
  <c r="P42" i="2"/>
  <c r="Q42" i="2"/>
  <c r="J16" i="2"/>
  <c r="Q16" i="2" s="1"/>
  <c r="M16" i="2"/>
  <c r="O16" i="2" s="1"/>
  <c r="P16" i="2" s="1"/>
  <c r="H100" i="4"/>
  <c r="G100" i="4"/>
  <c r="F100" i="4"/>
  <c r="H99" i="4"/>
  <c r="G99" i="4"/>
  <c r="F99" i="4"/>
  <c r="H98" i="4"/>
  <c r="G98" i="4"/>
  <c r="F98" i="4"/>
  <c r="H97" i="4"/>
  <c r="G97" i="4"/>
  <c r="F97" i="4"/>
  <c r="H96" i="4"/>
  <c r="G96" i="4"/>
  <c r="F96" i="4"/>
  <c r="H95" i="4"/>
  <c r="G95" i="4"/>
  <c r="F95" i="4"/>
  <c r="H94" i="4"/>
  <c r="G94" i="4"/>
  <c r="F94" i="4"/>
  <c r="H93" i="4"/>
  <c r="G93" i="4"/>
  <c r="F93" i="4"/>
  <c r="H92" i="4"/>
  <c r="G92" i="4"/>
  <c r="F92" i="4"/>
  <c r="H91" i="4"/>
  <c r="G91" i="4"/>
  <c r="F91" i="4"/>
  <c r="H90" i="4"/>
  <c r="G90" i="4"/>
  <c r="F90" i="4"/>
  <c r="H89" i="4"/>
  <c r="G89" i="4"/>
  <c r="F89" i="4"/>
  <c r="H88" i="4"/>
  <c r="G88" i="4"/>
  <c r="F88" i="4"/>
  <c r="H87" i="4"/>
  <c r="G87" i="4"/>
  <c r="F87" i="4"/>
  <c r="H86" i="4"/>
  <c r="G86" i="4"/>
  <c r="F86" i="4"/>
  <c r="H85" i="4"/>
  <c r="G85" i="4"/>
  <c r="F85" i="4"/>
  <c r="H84" i="4"/>
  <c r="G84" i="4"/>
  <c r="F84" i="4"/>
  <c r="H83" i="4"/>
  <c r="G83" i="4"/>
  <c r="F83" i="4"/>
  <c r="H82" i="4"/>
  <c r="G82" i="4"/>
  <c r="F82" i="4"/>
  <c r="H81" i="4"/>
  <c r="G81" i="4"/>
  <c r="F81" i="4"/>
  <c r="H80" i="4"/>
  <c r="G80" i="4"/>
  <c r="F80" i="4"/>
  <c r="H79" i="4"/>
  <c r="G79" i="4"/>
  <c r="F79" i="4"/>
  <c r="H78" i="4"/>
  <c r="G78" i="4"/>
  <c r="F78" i="4"/>
  <c r="H77" i="4"/>
  <c r="G77" i="4"/>
  <c r="F77" i="4"/>
  <c r="H76" i="4"/>
  <c r="G76" i="4"/>
  <c r="F76" i="4"/>
  <c r="H75" i="4"/>
  <c r="G75" i="4"/>
  <c r="F75" i="4"/>
  <c r="H74" i="4"/>
  <c r="G74" i="4"/>
  <c r="F74" i="4"/>
  <c r="H73" i="4"/>
  <c r="G73" i="4"/>
  <c r="F73" i="4"/>
  <c r="H72" i="4"/>
  <c r="G72" i="4"/>
  <c r="F72" i="4"/>
  <c r="H71" i="4"/>
  <c r="G71" i="4"/>
  <c r="F71" i="4"/>
  <c r="H70" i="4"/>
  <c r="G70" i="4"/>
  <c r="F70" i="4"/>
  <c r="H69" i="4"/>
  <c r="G69" i="4"/>
  <c r="F69" i="4"/>
  <c r="H68" i="4"/>
  <c r="G68" i="4"/>
  <c r="F68" i="4"/>
  <c r="H67" i="4"/>
  <c r="G67" i="4"/>
  <c r="F67" i="4"/>
  <c r="H66" i="4"/>
  <c r="G66" i="4"/>
  <c r="F66" i="4"/>
  <c r="H65" i="4"/>
  <c r="G65" i="4"/>
  <c r="F65" i="4"/>
  <c r="H64" i="4"/>
  <c r="G64" i="4"/>
  <c r="F64" i="4"/>
  <c r="H63" i="4"/>
  <c r="G63" i="4"/>
  <c r="F63" i="4"/>
  <c r="H62" i="4"/>
  <c r="G62" i="4"/>
  <c r="F62" i="4"/>
  <c r="H61" i="4"/>
  <c r="G61" i="4"/>
  <c r="F61" i="4"/>
  <c r="H60" i="4"/>
  <c r="G60" i="4"/>
  <c r="F60" i="4"/>
  <c r="H59" i="4"/>
  <c r="G59" i="4"/>
  <c r="F59" i="4"/>
  <c r="H58" i="4"/>
  <c r="G58" i="4"/>
  <c r="F58" i="4"/>
  <c r="H57" i="4"/>
  <c r="G57" i="4"/>
  <c r="F57" i="4"/>
  <c r="H56" i="4"/>
  <c r="G56" i="4"/>
  <c r="F56" i="4"/>
  <c r="H55" i="4"/>
  <c r="G55" i="4"/>
  <c r="F55" i="4"/>
  <c r="H54" i="4"/>
  <c r="G54" i="4"/>
  <c r="F54" i="4"/>
  <c r="H53" i="4"/>
  <c r="G53" i="4"/>
  <c r="F53" i="4"/>
  <c r="H52" i="4"/>
  <c r="G52" i="4"/>
  <c r="F52" i="4"/>
  <c r="H51" i="4"/>
  <c r="G51" i="4"/>
  <c r="F51" i="4"/>
  <c r="H50" i="4"/>
  <c r="G50" i="4"/>
  <c r="F50" i="4"/>
  <c r="H49" i="4"/>
  <c r="G49" i="4"/>
  <c r="F49" i="4"/>
  <c r="H48" i="4"/>
  <c r="G48" i="4"/>
  <c r="F48" i="4"/>
  <c r="H47" i="4"/>
  <c r="G47" i="4"/>
  <c r="F47" i="4"/>
  <c r="H46" i="4"/>
  <c r="G46" i="4"/>
  <c r="F46" i="4"/>
  <c r="H45" i="4"/>
  <c r="G45" i="4"/>
  <c r="F45" i="4"/>
  <c r="H44" i="4"/>
  <c r="G44" i="4"/>
  <c r="F44" i="4"/>
  <c r="H43" i="4"/>
  <c r="G43" i="4"/>
  <c r="F43" i="4"/>
  <c r="H42" i="4"/>
  <c r="G42" i="4"/>
  <c r="F42" i="4"/>
  <c r="H41" i="4"/>
  <c r="G41" i="4"/>
  <c r="F41" i="4"/>
  <c r="H40" i="4"/>
  <c r="G40" i="4"/>
  <c r="F40" i="4"/>
  <c r="H39" i="4"/>
  <c r="G39" i="4"/>
  <c r="F39" i="4"/>
  <c r="H38" i="4"/>
  <c r="G38" i="4"/>
  <c r="F38" i="4"/>
  <c r="H37" i="4"/>
  <c r="G37" i="4"/>
  <c r="F37" i="4"/>
  <c r="H36" i="4"/>
  <c r="G36" i="4"/>
  <c r="F36" i="4"/>
  <c r="H35" i="4"/>
  <c r="G35" i="4"/>
  <c r="F35" i="4"/>
  <c r="H34" i="4"/>
  <c r="G34" i="4"/>
  <c r="F34" i="4"/>
  <c r="H33" i="4"/>
  <c r="G33" i="4"/>
  <c r="F33" i="4"/>
  <c r="H32" i="4"/>
  <c r="G32" i="4"/>
  <c r="F32" i="4"/>
  <c r="H31" i="4"/>
  <c r="G31" i="4"/>
  <c r="F31" i="4"/>
  <c r="H30" i="4"/>
  <c r="G30" i="4"/>
  <c r="F30" i="4"/>
  <c r="H29" i="4"/>
  <c r="G29" i="4"/>
  <c r="F29" i="4"/>
  <c r="H28" i="4"/>
  <c r="G28" i="4"/>
  <c r="F28" i="4"/>
  <c r="H27" i="4"/>
  <c r="G27" i="4"/>
  <c r="F27" i="4"/>
  <c r="H26" i="4"/>
  <c r="G26" i="4"/>
  <c r="F26" i="4"/>
  <c r="H25" i="4"/>
  <c r="G25" i="4"/>
  <c r="F25" i="4"/>
  <c r="H24" i="4"/>
  <c r="G24" i="4"/>
  <c r="F24" i="4"/>
  <c r="H23" i="4"/>
  <c r="G23" i="4"/>
  <c r="F23" i="4"/>
  <c r="H22" i="4"/>
  <c r="G22" i="4"/>
  <c r="F22" i="4"/>
  <c r="H21" i="4"/>
  <c r="G21" i="4"/>
  <c r="F21" i="4"/>
  <c r="H20" i="4"/>
  <c r="G20" i="4"/>
  <c r="F20" i="4"/>
  <c r="H19" i="4"/>
  <c r="G19" i="4"/>
  <c r="F19" i="4"/>
  <c r="H18" i="4"/>
  <c r="G18" i="4"/>
  <c r="F18" i="4"/>
  <c r="H17" i="4"/>
  <c r="G17" i="4"/>
  <c r="F17" i="4"/>
  <c r="H16" i="4"/>
  <c r="G16" i="4"/>
  <c r="F16" i="4"/>
  <c r="H15" i="4"/>
  <c r="G15" i="4"/>
  <c r="F15" i="4"/>
  <c r="H14" i="4"/>
  <c r="G14" i="4"/>
  <c r="F14" i="4"/>
  <c r="H13" i="4"/>
  <c r="G13" i="4"/>
  <c r="F13" i="4"/>
  <c r="H12" i="4"/>
  <c r="G12" i="4"/>
  <c r="F12" i="4"/>
  <c r="H11" i="4"/>
  <c r="G11" i="4"/>
  <c r="F11" i="4"/>
  <c r="H10" i="4"/>
  <c r="G10" i="4"/>
  <c r="F10" i="4"/>
  <c r="G9" i="4"/>
  <c r="H9" i="4" s="1"/>
  <c r="F8" i="4"/>
  <c r="G8" i="4" s="1"/>
  <c r="H8" i="4" s="1"/>
  <c r="F7" i="4"/>
  <c r="G7" i="4" s="1"/>
  <c r="F6" i="4"/>
  <c r="G6" i="4" s="1"/>
  <c r="H6" i="4" s="1"/>
  <c r="H5" i="3"/>
  <c r="Q200" i="2"/>
  <c r="P200" i="2"/>
  <c r="M200" i="2"/>
  <c r="O200" i="2" s="1"/>
  <c r="J200" i="2"/>
  <c r="C200" i="2"/>
  <c r="Q199" i="2"/>
  <c r="P199" i="2"/>
  <c r="M199" i="2"/>
  <c r="O199" i="2" s="1"/>
  <c r="J199" i="2"/>
  <c r="C199" i="2"/>
  <c r="Q198" i="2"/>
  <c r="P198" i="2"/>
  <c r="M198" i="2"/>
  <c r="O198" i="2" s="1"/>
  <c r="J198" i="2"/>
  <c r="C198" i="2"/>
  <c r="Q197" i="2"/>
  <c r="P197" i="2"/>
  <c r="M197" i="2"/>
  <c r="O197" i="2" s="1"/>
  <c r="J197" i="2"/>
  <c r="C197" i="2"/>
  <c r="Q196" i="2"/>
  <c r="P196" i="2"/>
  <c r="M196" i="2"/>
  <c r="O196" i="2" s="1"/>
  <c r="J196" i="2"/>
  <c r="C196" i="2"/>
  <c r="Q195" i="2"/>
  <c r="P195" i="2"/>
  <c r="M195" i="2"/>
  <c r="O195" i="2" s="1"/>
  <c r="J195" i="2"/>
  <c r="C195" i="2"/>
  <c r="Q194" i="2"/>
  <c r="P194" i="2"/>
  <c r="M194" i="2"/>
  <c r="O194" i="2" s="1"/>
  <c r="J194" i="2"/>
  <c r="C194" i="2"/>
  <c r="Q193" i="2"/>
  <c r="P193" i="2"/>
  <c r="M193" i="2"/>
  <c r="O193" i="2" s="1"/>
  <c r="J193" i="2"/>
  <c r="C193" i="2"/>
  <c r="Q192" i="2"/>
  <c r="P192" i="2"/>
  <c r="M192" i="2"/>
  <c r="O192" i="2" s="1"/>
  <c r="J192" i="2"/>
  <c r="C192" i="2"/>
  <c r="Q191" i="2"/>
  <c r="P191" i="2"/>
  <c r="M191" i="2"/>
  <c r="O191" i="2" s="1"/>
  <c r="J191" i="2"/>
  <c r="C191" i="2"/>
  <c r="Q190" i="2"/>
  <c r="P190" i="2"/>
  <c r="M190" i="2"/>
  <c r="O190" i="2" s="1"/>
  <c r="J190" i="2"/>
  <c r="C190" i="2"/>
  <c r="Q189" i="2"/>
  <c r="P189" i="2"/>
  <c r="M189" i="2"/>
  <c r="O189" i="2" s="1"/>
  <c r="J189" i="2"/>
  <c r="C189" i="2"/>
  <c r="Q188" i="2"/>
  <c r="P188" i="2"/>
  <c r="M188" i="2"/>
  <c r="O188" i="2" s="1"/>
  <c r="J188" i="2"/>
  <c r="C188" i="2"/>
  <c r="Q187" i="2"/>
  <c r="P187" i="2"/>
  <c r="M187" i="2"/>
  <c r="O187" i="2" s="1"/>
  <c r="J187" i="2"/>
  <c r="C187" i="2"/>
  <c r="Q186" i="2"/>
  <c r="P186" i="2"/>
  <c r="M186" i="2"/>
  <c r="O186" i="2" s="1"/>
  <c r="J186" i="2"/>
  <c r="C186" i="2"/>
  <c r="Q185" i="2"/>
  <c r="P185" i="2"/>
  <c r="M185" i="2"/>
  <c r="O185" i="2" s="1"/>
  <c r="J185" i="2"/>
  <c r="C185" i="2"/>
  <c r="Q184" i="2"/>
  <c r="P184" i="2"/>
  <c r="M184" i="2"/>
  <c r="O184" i="2" s="1"/>
  <c r="J184" i="2"/>
  <c r="C184" i="2"/>
  <c r="Q183" i="2"/>
  <c r="P183" i="2"/>
  <c r="M183" i="2"/>
  <c r="O183" i="2" s="1"/>
  <c r="J183" i="2"/>
  <c r="C183" i="2"/>
  <c r="Q182" i="2"/>
  <c r="P182" i="2"/>
  <c r="M182" i="2"/>
  <c r="O182" i="2" s="1"/>
  <c r="J182" i="2"/>
  <c r="C182" i="2"/>
  <c r="Q181" i="2"/>
  <c r="P181" i="2"/>
  <c r="M181" i="2"/>
  <c r="O181" i="2" s="1"/>
  <c r="J181" i="2"/>
  <c r="C181" i="2"/>
  <c r="Q180" i="2"/>
  <c r="P180" i="2"/>
  <c r="M180" i="2"/>
  <c r="O180" i="2" s="1"/>
  <c r="J180" i="2"/>
  <c r="C180" i="2"/>
  <c r="Q179" i="2"/>
  <c r="P179" i="2"/>
  <c r="M179" i="2"/>
  <c r="O179" i="2" s="1"/>
  <c r="J179" i="2"/>
  <c r="C179" i="2"/>
  <c r="Q178" i="2"/>
  <c r="P178" i="2"/>
  <c r="M178" i="2"/>
  <c r="O178" i="2" s="1"/>
  <c r="J178" i="2"/>
  <c r="C178" i="2"/>
  <c r="Q177" i="2"/>
  <c r="P177" i="2"/>
  <c r="M177" i="2"/>
  <c r="O177" i="2" s="1"/>
  <c r="J177" i="2"/>
  <c r="C177" i="2"/>
  <c r="Q176" i="2"/>
  <c r="P176" i="2"/>
  <c r="M176" i="2"/>
  <c r="O176" i="2" s="1"/>
  <c r="J176" i="2"/>
  <c r="C176" i="2"/>
  <c r="Q175" i="2"/>
  <c r="P175" i="2"/>
  <c r="M175" i="2"/>
  <c r="O175" i="2" s="1"/>
  <c r="J175" i="2"/>
  <c r="C175" i="2"/>
  <c r="Q174" i="2"/>
  <c r="P174" i="2"/>
  <c r="M174" i="2"/>
  <c r="O174" i="2" s="1"/>
  <c r="J174" i="2"/>
  <c r="C174" i="2"/>
  <c r="Q173" i="2"/>
  <c r="P173" i="2"/>
  <c r="M173" i="2"/>
  <c r="O173" i="2" s="1"/>
  <c r="J173" i="2"/>
  <c r="C173" i="2"/>
  <c r="Q172" i="2"/>
  <c r="P172" i="2"/>
  <c r="M172" i="2"/>
  <c r="O172" i="2" s="1"/>
  <c r="J172" i="2"/>
  <c r="C172" i="2"/>
  <c r="Q171" i="2"/>
  <c r="P171" i="2"/>
  <c r="M171" i="2"/>
  <c r="O171" i="2" s="1"/>
  <c r="J171" i="2"/>
  <c r="C171" i="2"/>
  <c r="Q170" i="2"/>
  <c r="P170" i="2"/>
  <c r="M170" i="2"/>
  <c r="O170" i="2" s="1"/>
  <c r="J170" i="2"/>
  <c r="C170" i="2"/>
  <c r="Q169" i="2"/>
  <c r="P169" i="2"/>
  <c r="M169" i="2"/>
  <c r="O169" i="2" s="1"/>
  <c r="J169" i="2"/>
  <c r="C169" i="2"/>
  <c r="Q168" i="2"/>
  <c r="P168" i="2"/>
  <c r="M168" i="2"/>
  <c r="O168" i="2" s="1"/>
  <c r="J168" i="2"/>
  <c r="C168" i="2"/>
  <c r="Q167" i="2"/>
  <c r="P167" i="2"/>
  <c r="M167" i="2"/>
  <c r="O167" i="2" s="1"/>
  <c r="J167" i="2"/>
  <c r="C167" i="2"/>
  <c r="Q166" i="2"/>
  <c r="P166" i="2"/>
  <c r="M166" i="2"/>
  <c r="O166" i="2" s="1"/>
  <c r="J166" i="2"/>
  <c r="C166" i="2"/>
  <c r="Q165" i="2"/>
  <c r="P165" i="2"/>
  <c r="M165" i="2"/>
  <c r="O165" i="2" s="1"/>
  <c r="J165" i="2"/>
  <c r="C165" i="2"/>
  <c r="Q164" i="2"/>
  <c r="P164" i="2"/>
  <c r="M164" i="2"/>
  <c r="O164" i="2" s="1"/>
  <c r="J164" i="2"/>
  <c r="C164" i="2"/>
  <c r="Q163" i="2"/>
  <c r="P163" i="2"/>
  <c r="M163" i="2"/>
  <c r="O163" i="2" s="1"/>
  <c r="J163" i="2"/>
  <c r="C163" i="2"/>
  <c r="Q162" i="2"/>
  <c r="P162" i="2"/>
  <c r="M162" i="2"/>
  <c r="O162" i="2" s="1"/>
  <c r="J162" i="2"/>
  <c r="C162" i="2"/>
  <c r="Q161" i="2"/>
  <c r="P161" i="2"/>
  <c r="M161" i="2"/>
  <c r="O161" i="2" s="1"/>
  <c r="J161" i="2"/>
  <c r="C161" i="2"/>
  <c r="Q160" i="2"/>
  <c r="P160" i="2"/>
  <c r="M160" i="2"/>
  <c r="O160" i="2" s="1"/>
  <c r="J160" i="2"/>
  <c r="C160" i="2"/>
  <c r="Q159" i="2"/>
  <c r="P159" i="2"/>
  <c r="M159" i="2"/>
  <c r="O159" i="2" s="1"/>
  <c r="J159" i="2"/>
  <c r="C159" i="2"/>
  <c r="Q158" i="2"/>
  <c r="P158" i="2"/>
  <c r="M158" i="2"/>
  <c r="O158" i="2" s="1"/>
  <c r="J158" i="2"/>
  <c r="C158" i="2"/>
  <c r="Q157" i="2"/>
  <c r="P157" i="2"/>
  <c r="M157" i="2"/>
  <c r="O157" i="2" s="1"/>
  <c r="J157" i="2"/>
  <c r="C157" i="2"/>
  <c r="Q156" i="2"/>
  <c r="P156" i="2"/>
  <c r="M156" i="2"/>
  <c r="O156" i="2" s="1"/>
  <c r="J156" i="2"/>
  <c r="C156" i="2"/>
  <c r="Q155" i="2"/>
  <c r="P155" i="2"/>
  <c r="M155" i="2"/>
  <c r="O155" i="2" s="1"/>
  <c r="J155" i="2"/>
  <c r="C155" i="2"/>
  <c r="Q154" i="2"/>
  <c r="P154" i="2"/>
  <c r="M154" i="2"/>
  <c r="O154" i="2" s="1"/>
  <c r="J154" i="2"/>
  <c r="C154" i="2"/>
  <c r="Q153" i="2"/>
  <c r="P153" i="2"/>
  <c r="M153" i="2"/>
  <c r="O153" i="2" s="1"/>
  <c r="J153" i="2"/>
  <c r="C153" i="2"/>
  <c r="Q152" i="2"/>
  <c r="P152" i="2"/>
  <c r="M152" i="2"/>
  <c r="O152" i="2" s="1"/>
  <c r="J152" i="2"/>
  <c r="C152" i="2"/>
  <c r="Q151" i="2"/>
  <c r="P151" i="2"/>
  <c r="M151" i="2"/>
  <c r="O151" i="2" s="1"/>
  <c r="J151" i="2"/>
  <c r="C151" i="2"/>
  <c r="Q150" i="2"/>
  <c r="P150" i="2"/>
  <c r="M150" i="2"/>
  <c r="O150" i="2" s="1"/>
  <c r="J150" i="2"/>
  <c r="C150" i="2"/>
  <c r="Q149" i="2"/>
  <c r="P149" i="2"/>
  <c r="M149" i="2"/>
  <c r="O149" i="2" s="1"/>
  <c r="J149" i="2"/>
  <c r="C149" i="2"/>
  <c r="Q148" i="2"/>
  <c r="P148" i="2"/>
  <c r="M148" i="2"/>
  <c r="O148" i="2" s="1"/>
  <c r="J148" i="2"/>
  <c r="C148" i="2"/>
  <c r="Q147" i="2"/>
  <c r="P147" i="2"/>
  <c r="M147" i="2"/>
  <c r="O147" i="2" s="1"/>
  <c r="J147" i="2"/>
  <c r="C147" i="2"/>
  <c r="Q146" i="2"/>
  <c r="P146" i="2"/>
  <c r="M146" i="2"/>
  <c r="O146" i="2" s="1"/>
  <c r="J146" i="2"/>
  <c r="C146" i="2"/>
  <c r="Q145" i="2"/>
  <c r="P145" i="2"/>
  <c r="M145" i="2"/>
  <c r="O145" i="2" s="1"/>
  <c r="J145" i="2"/>
  <c r="C145" i="2"/>
  <c r="Q144" i="2"/>
  <c r="P144" i="2"/>
  <c r="M144" i="2"/>
  <c r="O144" i="2" s="1"/>
  <c r="J144" i="2"/>
  <c r="C144" i="2"/>
  <c r="Q143" i="2"/>
  <c r="P143" i="2"/>
  <c r="M143" i="2"/>
  <c r="O143" i="2" s="1"/>
  <c r="J143" i="2"/>
  <c r="C143" i="2"/>
  <c r="Q142" i="2"/>
  <c r="P142" i="2"/>
  <c r="M142" i="2"/>
  <c r="O142" i="2" s="1"/>
  <c r="J142" i="2"/>
  <c r="C142" i="2"/>
  <c r="Q141" i="2"/>
  <c r="P141" i="2"/>
  <c r="M141" i="2"/>
  <c r="O141" i="2" s="1"/>
  <c r="J141" i="2"/>
  <c r="C141" i="2"/>
  <c r="Q140" i="2"/>
  <c r="P140" i="2"/>
  <c r="M140" i="2"/>
  <c r="O140" i="2" s="1"/>
  <c r="J140" i="2"/>
  <c r="C140" i="2"/>
  <c r="Q139" i="2"/>
  <c r="P139" i="2"/>
  <c r="M139" i="2"/>
  <c r="O139" i="2" s="1"/>
  <c r="J139" i="2"/>
  <c r="C139" i="2"/>
  <c r="Q138" i="2"/>
  <c r="P138" i="2"/>
  <c r="M138" i="2"/>
  <c r="O138" i="2" s="1"/>
  <c r="J138" i="2"/>
  <c r="C138" i="2"/>
  <c r="Q137" i="2"/>
  <c r="P137" i="2"/>
  <c r="M137" i="2"/>
  <c r="O137" i="2" s="1"/>
  <c r="J137" i="2"/>
  <c r="C137" i="2"/>
  <c r="Q136" i="2"/>
  <c r="P136" i="2"/>
  <c r="M136" i="2"/>
  <c r="O136" i="2" s="1"/>
  <c r="J136" i="2"/>
  <c r="C136" i="2"/>
  <c r="Q135" i="2"/>
  <c r="P135" i="2"/>
  <c r="M135" i="2"/>
  <c r="O135" i="2" s="1"/>
  <c r="J135" i="2"/>
  <c r="C135" i="2"/>
  <c r="Q134" i="2"/>
  <c r="P134" i="2"/>
  <c r="M134" i="2"/>
  <c r="O134" i="2" s="1"/>
  <c r="J134" i="2"/>
  <c r="C134" i="2"/>
  <c r="Q133" i="2"/>
  <c r="P133" i="2"/>
  <c r="M133" i="2"/>
  <c r="O133" i="2" s="1"/>
  <c r="J133" i="2"/>
  <c r="C133" i="2"/>
  <c r="Q132" i="2"/>
  <c r="P132" i="2"/>
  <c r="M132" i="2"/>
  <c r="O132" i="2" s="1"/>
  <c r="J132" i="2"/>
  <c r="C132" i="2"/>
  <c r="Q131" i="2"/>
  <c r="P131" i="2"/>
  <c r="M131" i="2"/>
  <c r="O131" i="2" s="1"/>
  <c r="J131" i="2"/>
  <c r="C131" i="2"/>
  <c r="Q130" i="2"/>
  <c r="P130" i="2"/>
  <c r="M130" i="2"/>
  <c r="O130" i="2" s="1"/>
  <c r="J130" i="2"/>
  <c r="C130" i="2"/>
  <c r="Q129" i="2"/>
  <c r="P129" i="2"/>
  <c r="M129" i="2"/>
  <c r="O129" i="2" s="1"/>
  <c r="J129" i="2"/>
  <c r="C129" i="2"/>
  <c r="Q128" i="2"/>
  <c r="P128" i="2"/>
  <c r="M128" i="2"/>
  <c r="O128" i="2" s="1"/>
  <c r="J128" i="2"/>
  <c r="C128" i="2"/>
  <c r="Q127" i="2"/>
  <c r="P127" i="2"/>
  <c r="M127" i="2"/>
  <c r="O127" i="2" s="1"/>
  <c r="J127" i="2"/>
  <c r="C127" i="2"/>
  <c r="Q126" i="2"/>
  <c r="P126" i="2"/>
  <c r="M126" i="2"/>
  <c r="O126" i="2" s="1"/>
  <c r="J126" i="2"/>
  <c r="C126" i="2"/>
  <c r="Q125" i="2"/>
  <c r="P125" i="2"/>
  <c r="M125" i="2"/>
  <c r="O125" i="2" s="1"/>
  <c r="J125" i="2"/>
  <c r="C125" i="2"/>
  <c r="Q124" i="2"/>
  <c r="P124" i="2"/>
  <c r="M124" i="2"/>
  <c r="O124" i="2" s="1"/>
  <c r="J124" i="2"/>
  <c r="C124" i="2"/>
  <c r="Q123" i="2"/>
  <c r="P123" i="2"/>
  <c r="M123" i="2"/>
  <c r="O123" i="2" s="1"/>
  <c r="J123" i="2"/>
  <c r="C123" i="2"/>
  <c r="Q122" i="2"/>
  <c r="P122" i="2"/>
  <c r="M122" i="2"/>
  <c r="O122" i="2" s="1"/>
  <c r="J122" i="2"/>
  <c r="C122" i="2"/>
  <c r="Q121" i="2"/>
  <c r="P121" i="2"/>
  <c r="M121" i="2"/>
  <c r="O121" i="2" s="1"/>
  <c r="J121" i="2"/>
  <c r="C121" i="2"/>
  <c r="Q120" i="2"/>
  <c r="P120" i="2"/>
  <c r="M120" i="2"/>
  <c r="O120" i="2" s="1"/>
  <c r="J120" i="2"/>
  <c r="C120" i="2"/>
  <c r="Q119" i="2"/>
  <c r="P119" i="2"/>
  <c r="M119" i="2"/>
  <c r="O119" i="2" s="1"/>
  <c r="J119" i="2"/>
  <c r="C119" i="2"/>
  <c r="Q118" i="2"/>
  <c r="P118" i="2"/>
  <c r="M118" i="2"/>
  <c r="O118" i="2" s="1"/>
  <c r="J118" i="2"/>
  <c r="C118" i="2"/>
  <c r="Q117" i="2"/>
  <c r="P117" i="2"/>
  <c r="M117" i="2"/>
  <c r="O117" i="2" s="1"/>
  <c r="J117" i="2"/>
  <c r="C117" i="2"/>
  <c r="Q116" i="2"/>
  <c r="P116" i="2"/>
  <c r="M116" i="2"/>
  <c r="O116" i="2" s="1"/>
  <c r="J116" i="2"/>
  <c r="C116" i="2"/>
  <c r="Q115" i="2"/>
  <c r="P115" i="2"/>
  <c r="M115" i="2"/>
  <c r="O115" i="2" s="1"/>
  <c r="J115" i="2"/>
  <c r="C115" i="2"/>
  <c r="Q114" i="2"/>
  <c r="P114" i="2"/>
  <c r="M114" i="2"/>
  <c r="O114" i="2" s="1"/>
  <c r="J114" i="2"/>
  <c r="C114" i="2"/>
  <c r="Q113" i="2"/>
  <c r="P113" i="2"/>
  <c r="M113" i="2"/>
  <c r="O113" i="2" s="1"/>
  <c r="J113" i="2"/>
  <c r="C113" i="2"/>
  <c r="Q112" i="2"/>
  <c r="P112" i="2"/>
  <c r="M112" i="2"/>
  <c r="O112" i="2" s="1"/>
  <c r="J112" i="2"/>
  <c r="C112" i="2"/>
  <c r="Q111" i="2"/>
  <c r="P111" i="2"/>
  <c r="M111" i="2"/>
  <c r="O111" i="2" s="1"/>
  <c r="J111" i="2"/>
  <c r="C111" i="2"/>
  <c r="Q110" i="2"/>
  <c r="P110" i="2"/>
  <c r="M110" i="2"/>
  <c r="O110" i="2" s="1"/>
  <c r="J110" i="2"/>
  <c r="C110" i="2"/>
  <c r="Q109" i="2"/>
  <c r="P109" i="2"/>
  <c r="M109" i="2"/>
  <c r="O109" i="2" s="1"/>
  <c r="J109" i="2"/>
  <c r="C109" i="2"/>
  <c r="Q108" i="2"/>
  <c r="P108" i="2"/>
  <c r="M108" i="2"/>
  <c r="O108" i="2" s="1"/>
  <c r="J108" i="2"/>
  <c r="C108" i="2"/>
  <c r="Q107" i="2"/>
  <c r="P107" i="2"/>
  <c r="M107" i="2"/>
  <c r="O107" i="2" s="1"/>
  <c r="J107" i="2"/>
  <c r="C107" i="2"/>
  <c r="Q106" i="2"/>
  <c r="P106" i="2"/>
  <c r="M106" i="2"/>
  <c r="O106" i="2" s="1"/>
  <c r="J106" i="2"/>
  <c r="C106" i="2"/>
  <c r="Q105" i="2"/>
  <c r="P105" i="2"/>
  <c r="M105" i="2"/>
  <c r="O105" i="2" s="1"/>
  <c r="J105" i="2"/>
  <c r="C105" i="2"/>
  <c r="Q104" i="2"/>
  <c r="P104" i="2"/>
  <c r="M104" i="2"/>
  <c r="O104" i="2" s="1"/>
  <c r="J104" i="2"/>
  <c r="C104" i="2"/>
  <c r="Q103" i="2"/>
  <c r="P103" i="2"/>
  <c r="M103" i="2"/>
  <c r="O103" i="2" s="1"/>
  <c r="J103" i="2"/>
  <c r="C103" i="2"/>
  <c r="Q102" i="2"/>
  <c r="P102" i="2"/>
  <c r="M102" i="2"/>
  <c r="O102" i="2" s="1"/>
  <c r="J102" i="2"/>
  <c r="C102" i="2"/>
  <c r="Q101" i="2"/>
  <c r="P101" i="2"/>
  <c r="M101" i="2"/>
  <c r="O101" i="2" s="1"/>
  <c r="J101" i="2"/>
  <c r="C101" i="2"/>
  <c r="Q100" i="2"/>
  <c r="P100" i="2"/>
  <c r="M100" i="2"/>
  <c r="O100" i="2" s="1"/>
  <c r="J100" i="2"/>
  <c r="C100" i="2"/>
  <c r="Q99" i="2"/>
  <c r="P99" i="2"/>
  <c r="M99" i="2"/>
  <c r="O99" i="2" s="1"/>
  <c r="J99" i="2"/>
  <c r="C99" i="2"/>
  <c r="Q98" i="2"/>
  <c r="P98" i="2"/>
  <c r="M98" i="2"/>
  <c r="O98" i="2" s="1"/>
  <c r="J98" i="2"/>
  <c r="C98" i="2"/>
  <c r="Q97" i="2"/>
  <c r="P97" i="2"/>
  <c r="M97" i="2"/>
  <c r="O97" i="2" s="1"/>
  <c r="J97" i="2"/>
  <c r="C97" i="2"/>
  <c r="Q96" i="2"/>
  <c r="P96" i="2"/>
  <c r="M96" i="2"/>
  <c r="O96" i="2" s="1"/>
  <c r="J96" i="2"/>
  <c r="C96" i="2"/>
  <c r="Q95" i="2"/>
  <c r="P95" i="2"/>
  <c r="M95" i="2"/>
  <c r="O95" i="2" s="1"/>
  <c r="J95" i="2"/>
  <c r="C95" i="2"/>
  <c r="Q94" i="2"/>
  <c r="P94" i="2"/>
  <c r="M94" i="2"/>
  <c r="O94" i="2" s="1"/>
  <c r="J94" i="2"/>
  <c r="C94" i="2"/>
  <c r="Q93" i="2"/>
  <c r="P93" i="2"/>
  <c r="M93" i="2"/>
  <c r="O93" i="2" s="1"/>
  <c r="J93" i="2"/>
  <c r="C93" i="2"/>
  <c r="Q92" i="2"/>
  <c r="P92" i="2"/>
  <c r="M92" i="2"/>
  <c r="O92" i="2" s="1"/>
  <c r="J92" i="2"/>
  <c r="C92" i="2"/>
  <c r="Q91" i="2"/>
  <c r="P91" i="2"/>
  <c r="M91" i="2"/>
  <c r="O91" i="2" s="1"/>
  <c r="J91" i="2"/>
  <c r="C91" i="2"/>
  <c r="Q90" i="2"/>
  <c r="P90" i="2"/>
  <c r="M90" i="2"/>
  <c r="O90" i="2" s="1"/>
  <c r="J90" i="2"/>
  <c r="C90" i="2"/>
  <c r="Q89" i="2"/>
  <c r="P89" i="2"/>
  <c r="M89" i="2"/>
  <c r="O89" i="2" s="1"/>
  <c r="J89" i="2"/>
  <c r="C89" i="2"/>
  <c r="Q88" i="2"/>
  <c r="P88" i="2"/>
  <c r="M88" i="2"/>
  <c r="O88" i="2" s="1"/>
  <c r="J88" i="2"/>
  <c r="C88" i="2"/>
  <c r="Q87" i="2"/>
  <c r="P87" i="2"/>
  <c r="M87" i="2"/>
  <c r="O87" i="2" s="1"/>
  <c r="J87" i="2"/>
  <c r="C87" i="2"/>
  <c r="Q86" i="2"/>
  <c r="P86" i="2"/>
  <c r="M86" i="2"/>
  <c r="O86" i="2" s="1"/>
  <c r="J86" i="2"/>
  <c r="C86" i="2"/>
  <c r="Q85" i="2"/>
  <c r="P85" i="2"/>
  <c r="M85" i="2"/>
  <c r="O85" i="2" s="1"/>
  <c r="J85" i="2"/>
  <c r="C85" i="2"/>
  <c r="Q84" i="2"/>
  <c r="P84" i="2"/>
  <c r="M84" i="2"/>
  <c r="O84" i="2" s="1"/>
  <c r="J84" i="2"/>
  <c r="C84" i="2"/>
  <c r="Q83" i="2"/>
  <c r="P83" i="2"/>
  <c r="M83" i="2"/>
  <c r="O83" i="2" s="1"/>
  <c r="J83" i="2"/>
  <c r="C83" i="2"/>
  <c r="Q82" i="2"/>
  <c r="P82" i="2"/>
  <c r="M82" i="2"/>
  <c r="O82" i="2" s="1"/>
  <c r="J82" i="2"/>
  <c r="C82" i="2"/>
  <c r="Q81" i="2"/>
  <c r="P81" i="2"/>
  <c r="M81" i="2"/>
  <c r="O81" i="2" s="1"/>
  <c r="J81" i="2"/>
  <c r="C81" i="2"/>
  <c r="Q80" i="2"/>
  <c r="P80" i="2"/>
  <c r="M80" i="2"/>
  <c r="O80" i="2" s="1"/>
  <c r="J80" i="2"/>
  <c r="C80" i="2"/>
  <c r="Q79" i="2"/>
  <c r="P79" i="2"/>
  <c r="M79" i="2"/>
  <c r="O79" i="2" s="1"/>
  <c r="J79" i="2"/>
  <c r="C79" i="2"/>
  <c r="Q78" i="2"/>
  <c r="P78" i="2"/>
  <c r="M78" i="2"/>
  <c r="O78" i="2" s="1"/>
  <c r="J78" i="2"/>
  <c r="C78" i="2"/>
  <c r="Q77" i="2"/>
  <c r="P77" i="2"/>
  <c r="M77" i="2"/>
  <c r="O77" i="2" s="1"/>
  <c r="J77" i="2"/>
  <c r="C77" i="2"/>
  <c r="Q76" i="2"/>
  <c r="P76" i="2"/>
  <c r="M76" i="2"/>
  <c r="O76" i="2" s="1"/>
  <c r="J76" i="2"/>
  <c r="C76" i="2"/>
  <c r="Q75" i="2"/>
  <c r="P75" i="2"/>
  <c r="M75" i="2"/>
  <c r="O75" i="2" s="1"/>
  <c r="J75" i="2"/>
  <c r="C75" i="2"/>
  <c r="Q74" i="2"/>
  <c r="P74" i="2"/>
  <c r="M74" i="2"/>
  <c r="O74" i="2" s="1"/>
  <c r="J74" i="2"/>
  <c r="C74" i="2"/>
  <c r="Q73" i="2"/>
  <c r="P73" i="2"/>
  <c r="M73" i="2"/>
  <c r="O73" i="2" s="1"/>
  <c r="J73" i="2"/>
  <c r="C73" i="2"/>
  <c r="Q72" i="2"/>
  <c r="P72" i="2"/>
  <c r="M72" i="2"/>
  <c r="O72" i="2" s="1"/>
  <c r="J72" i="2"/>
  <c r="C72" i="2"/>
  <c r="Q71" i="2"/>
  <c r="P71" i="2"/>
  <c r="M71" i="2"/>
  <c r="O71" i="2" s="1"/>
  <c r="J71" i="2"/>
  <c r="C71" i="2"/>
  <c r="Q70" i="2"/>
  <c r="P70" i="2"/>
  <c r="M70" i="2"/>
  <c r="O70" i="2" s="1"/>
  <c r="J70" i="2"/>
  <c r="C70" i="2"/>
  <c r="M69" i="2"/>
  <c r="O69" i="2" s="1"/>
  <c r="P69" i="2" s="1"/>
  <c r="J69" i="2"/>
  <c r="Q69" i="2" s="1"/>
  <c r="M68" i="2"/>
  <c r="O68" i="2" s="1"/>
  <c r="P68" i="2" s="1"/>
  <c r="J68" i="2"/>
  <c r="Q68" i="2" s="1"/>
  <c r="M67" i="2"/>
  <c r="O67" i="2" s="1"/>
  <c r="P67" i="2" s="1"/>
  <c r="J67" i="2"/>
  <c r="Q67" i="2" s="1"/>
  <c r="M66" i="2"/>
  <c r="O66" i="2" s="1"/>
  <c r="P66" i="2" s="1"/>
  <c r="J66" i="2"/>
  <c r="Q66" i="2" s="1"/>
  <c r="M65" i="2"/>
  <c r="O65" i="2" s="1"/>
  <c r="P65" i="2" s="1"/>
  <c r="J65" i="2"/>
  <c r="Q65" i="2" s="1"/>
  <c r="M64" i="2"/>
  <c r="O64" i="2" s="1"/>
  <c r="P64" i="2" s="1"/>
  <c r="J64" i="2"/>
  <c r="Q64" i="2" s="1"/>
  <c r="M63" i="2"/>
  <c r="O63" i="2" s="1"/>
  <c r="P63" i="2" s="1"/>
  <c r="J63" i="2"/>
  <c r="Q63" i="2" s="1"/>
  <c r="M7" i="2"/>
  <c r="O7" i="2" s="1"/>
  <c r="P7" i="2" s="1"/>
  <c r="J7" i="2"/>
  <c r="Q7" i="2" s="1"/>
  <c r="M14" i="2"/>
  <c r="O14" i="2" s="1"/>
  <c r="P14" i="2" s="1"/>
  <c r="J14" i="2"/>
  <c r="Q14" i="2" s="1"/>
  <c r="M12" i="2"/>
  <c r="O12" i="2" s="1"/>
  <c r="P12" i="2" s="1"/>
  <c r="J12" i="2"/>
  <c r="Q12" i="2" s="1"/>
  <c r="M11" i="2"/>
  <c r="O11" i="2" s="1"/>
  <c r="P11" i="2" s="1"/>
  <c r="J11" i="2"/>
  <c r="Q11" i="2" s="1"/>
  <c r="M10" i="2"/>
  <c r="O10" i="2" s="1"/>
  <c r="P10" i="2" s="1"/>
  <c r="J10" i="2"/>
  <c r="Q10" i="2" s="1"/>
  <c r="M9" i="2"/>
  <c r="O9" i="2" s="1"/>
  <c r="P9" i="2" s="1"/>
  <c r="J9" i="2"/>
  <c r="Q9" i="2" s="1"/>
  <c r="M15" i="2"/>
  <c r="O15" i="2" s="1"/>
  <c r="P15" i="2" s="1"/>
  <c r="J15" i="2"/>
  <c r="Q15" i="2" s="1"/>
  <c r="M8" i="2"/>
  <c r="O8" i="2" s="1"/>
  <c r="P8" i="2" s="1"/>
  <c r="J8" i="2"/>
  <c r="Q8" i="2" s="1"/>
  <c r="M61" i="2"/>
  <c r="O61" i="2" s="1"/>
  <c r="P61" i="2" s="1"/>
  <c r="J61" i="2"/>
  <c r="Q61" i="2" s="1"/>
  <c r="M13" i="2"/>
  <c r="O13" i="2" s="1"/>
  <c r="P13" i="2" s="1"/>
  <c r="J13" i="2"/>
  <c r="Q13" i="2" s="1"/>
  <c r="M60" i="2"/>
  <c r="O60" i="2" s="1"/>
  <c r="P60" i="2" s="1"/>
  <c r="J60" i="2"/>
  <c r="Q60" i="2" s="1"/>
  <c r="M59" i="2"/>
  <c r="O59" i="2" s="1"/>
  <c r="P59" i="2" s="1"/>
  <c r="J59" i="2"/>
  <c r="Q59" i="2" s="1"/>
  <c r="M58" i="2"/>
  <c r="O58" i="2" s="1"/>
  <c r="P58" i="2" s="1"/>
  <c r="J58" i="2"/>
  <c r="Q58" i="2" s="1"/>
  <c r="M57" i="2"/>
  <c r="O57" i="2" s="1"/>
  <c r="P57" i="2" s="1"/>
  <c r="J57" i="2"/>
  <c r="Q57" i="2" s="1"/>
  <c r="M56" i="2"/>
  <c r="O56" i="2" s="1"/>
  <c r="P56" i="2" s="1"/>
  <c r="J56" i="2"/>
  <c r="Q56" i="2" s="1"/>
  <c r="P55" i="2"/>
  <c r="M55" i="2"/>
  <c r="O55" i="2" s="1"/>
  <c r="J55" i="2"/>
  <c r="Q55" i="2" s="1"/>
  <c r="M54" i="2"/>
  <c r="O54" i="2" s="1"/>
  <c r="P54" i="2" s="1"/>
  <c r="J54" i="2"/>
  <c r="Q54" i="2" s="1"/>
  <c r="M53" i="2"/>
  <c r="O53" i="2" s="1"/>
  <c r="P53" i="2" s="1"/>
  <c r="J53" i="2"/>
  <c r="Q53" i="2" s="1"/>
  <c r="M52" i="2"/>
  <c r="O52" i="2" s="1"/>
  <c r="P52" i="2" s="1"/>
  <c r="J52" i="2"/>
  <c r="Q52" i="2" s="1"/>
  <c r="M51" i="2"/>
  <c r="O51" i="2" s="1"/>
  <c r="P51" i="2" s="1"/>
  <c r="J51" i="2"/>
  <c r="Q51" i="2" s="1"/>
  <c r="M50" i="2"/>
  <c r="O50" i="2" s="1"/>
  <c r="P50" i="2" s="1"/>
  <c r="J50" i="2"/>
  <c r="Q50" i="2" s="1"/>
  <c r="M49" i="2"/>
  <c r="O49" i="2" s="1"/>
  <c r="P49" i="2" s="1"/>
  <c r="J49" i="2"/>
  <c r="Q49" i="2" s="1"/>
  <c r="M48" i="2"/>
  <c r="O48" i="2" s="1"/>
  <c r="P48" i="2" s="1"/>
  <c r="J48" i="2"/>
  <c r="Q48" i="2" s="1"/>
  <c r="M47" i="2"/>
  <c r="O47" i="2" s="1"/>
  <c r="P47" i="2" s="1"/>
  <c r="J47" i="2"/>
  <c r="Q47" i="2" s="1"/>
  <c r="M45" i="2"/>
  <c r="O45" i="2" s="1"/>
  <c r="P45" i="2" s="1"/>
  <c r="J45" i="2"/>
  <c r="Q45" i="2" s="1"/>
  <c r="M44" i="2"/>
  <c r="O44" i="2" s="1"/>
  <c r="P44" i="2" s="1"/>
  <c r="J44" i="2"/>
  <c r="Q44" i="2" s="1"/>
  <c r="M43" i="2"/>
  <c r="O43" i="2" s="1"/>
  <c r="P43" i="2" s="1"/>
  <c r="J43" i="2"/>
  <c r="Q43" i="2" s="1"/>
  <c r="M41" i="2"/>
  <c r="O41" i="2" s="1"/>
  <c r="P41" i="2" s="1"/>
  <c r="J41" i="2"/>
  <c r="Q41" i="2" s="1"/>
  <c r="P40" i="2"/>
  <c r="M40" i="2"/>
  <c r="O40" i="2" s="1"/>
  <c r="J40" i="2"/>
  <c r="Q40" i="2" s="1"/>
  <c r="M39" i="2"/>
  <c r="O39" i="2" s="1"/>
  <c r="P39" i="2" s="1"/>
  <c r="J39" i="2"/>
  <c r="Q39" i="2" s="1"/>
  <c r="M38" i="2"/>
  <c r="O38" i="2" s="1"/>
  <c r="P38" i="2" s="1"/>
  <c r="J38" i="2"/>
  <c r="Q38" i="2" s="1"/>
  <c r="M37" i="2"/>
  <c r="O37" i="2" s="1"/>
  <c r="P37" i="2" s="1"/>
  <c r="J37" i="2"/>
  <c r="Q37" i="2" s="1"/>
  <c r="M36" i="2"/>
  <c r="O36" i="2" s="1"/>
  <c r="P36" i="2" s="1"/>
  <c r="J36" i="2"/>
  <c r="Q36" i="2" s="1"/>
  <c r="M35" i="2"/>
  <c r="O35" i="2" s="1"/>
  <c r="P35" i="2" s="1"/>
  <c r="J35" i="2"/>
  <c r="Q35" i="2" s="1"/>
  <c r="M34" i="2"/>
  <c r="O34" i="2" s="1"/>
  <c r="P34" i="2" s="1"/>
  <c r="J34" i="2"/>
  <c r="Q34" i="2" s="1"/>
  <c r="M33" i="2"/>
  <c r="O33" i="2" s="1"/>
  <c r="P33" i="2" s="1"/>
  <c r="J33" i="2"/>
  <c r="Q33" i="2" s="1"/>
  <c r="M32" i="2"/>
  <c r="O32" i="2" s="1"/>
  <c r="P32" i="2" s="1"/>
  <c r="J32" i="2"/>
  <c r="Q32" i="2" s="1"/>
  <c r="M31" i="2"/>
  <c r="O31" i="2" s="1"/>
  <c r="P31" i="2" s="1"/>
  <c r="J31" i="2"/>
  <c r="Q31" i="2" s="1"/>
  <c r="M30" i="2"/>
  <c r="O30" i="2" s="1"/>
  <c r="P30" i="2" s="1"/>
  <c r="J30" i="2"/>
  <c r="Q30" i="2" s="1"/>
  <c r="M29" i="2"/>
  <c r="O29" i="2" s="1"/>
  <c r="P29" i="2" s="1"/>
  <c r="J29" i="2"/>
  <c r="Q29" i="2" s="1"/>
  <c r="M28" i="2"/>
  <c r="O28" i="2" s="1"/>
  <c r="P28" i="2" s="1"/>
  <c r="J28" i="2"/>
  <c r="Q28" i="2" s="1"/>
  <c r="M27" i="2"/>
  <c r="O27" i="2" s="1"/>
  <c r="P27" i="2" s="1"/>
  <c r="J27" i="2"/>
  <c r="Q27" i="2" s="1"/>
  <c r="M26" i="2"/>
  <c r="O26" i="2" s="1"/>
  <c r="P26" i="2" s="1"/>
  <c r="J26" i="2"/>
  <c r="Q26" i="2" s="1"/>
  <c r="M25" i="2"/>
  <c r="O25" i="2" s="1"/>
  <c r="P25" i="2" s="1"/>
  <c r="J25" i="2"/>
  <c r="Q25" i="2" s="1"/>
  <c r="M24" i="2"/>
  <c r="O24" i="2" s="1"/>
  <c r="P24" i="2" s="1"/>
  <c r="J24" i="2"/>
  <c r="Q24" i="2" s="1"/>
  <c r="M23" i="2"/>
  <c r="O23" i="2" s="1"/>
  <c r="P23" i="2" s="1"/>
  <c r="J23" i="2"/>
  <c r="Q23" i="2" s="1"/>
  <c r="M22" i="2"/>
  <c r="O22" i="2" s="1"/>
  <c r="P22" i="2" s="1"/>
  <c r="J22" i="2"/>
  <c r="Q22" i="2" s="1"/>
  <c r="M21" i="2"/>
  <c r="O21" i="2" s="1"/>
  <c r="P21" i="2" s="1"/>
  <c r="J21" i="2"/>
  <c r="Q21" i="2" s="1"/>
  <c r="M20" i="2"/>
  <c r="O20" i="2" s="1"/>
  <c r="P20" i="2" s="1"/>
  <c r="J20" i="2"/>
  <c r="Q20" i="2" s="1"/>
  <c r="M19" i="2"/>
  <c r="O19" i="2" s="1"/>
  <c r="P19" i="2" s="1"/>
  <c r="J19" i="2"/>
  <c r="Q19" i="2" s="1"/>
  <c r="M18" i="2"/>
  <c r="O18" i="2" s="1"/>
  <c r="P18" i="2" s="1"/>
  <c r="J18" i="2"/>
  <c r="Q18" i="2" s="1"/>
  <c r="M17" i="2"/>
  <c r="O17" i="2" s="1"/>
  <c r="P17" i="2" s="1"/>
  <c r="J17" i="2"/>
  <c r="Q17" i="2" s="1"/>
  <c r="C10" i="1"/>
  <c r="C8" i="1"/>
  <c r="C6" i="1"/>
  <c r="H7" i="4" l="1"/>
  <c r="C11" i="1" s="1"/>
  <c r="C12" i="1" s="1"/>
  <c r="C13" i="1" s="1"/>
  <c r="C7" i="1"/>
  <c r="J5" i="4" l="1"/>
  <c r="C9" i="1"/>
  <c r="C9" i="2"/>
  <c r="C41" i="2"/>
  <c r="C12" i="2"/>
  <c r="C57" i="2"/>
  <c r="C16" i="2"/>
  <c r="C10" i="2"/>
  <c r="C66" i="2"/>
  <c r="C8" i="2"/>
  <c r="C61" i="2"/>
  <c r="C36" i="2"/>
  <c r="C39" i="2"/>
  <c r="C67" i="2"/>
  <c r="C11" i="2"/>
  <c r="C14" i="2"/>
  <c r="C47" i="2"/>
  <c r="C68" i="2"/>
  <c r="C63" i="2"/>
  <c r="C59" i="2"/>
  <c r="C60" i="2"/>
  <c r="C24" i="2"/>
  <c r="C22" i="2"/>
  <c r="C34" i="2"/>
  <c r="C37" i="2"/>
  <c r="C53" i="2"/>
  <c r="C40" i="2"/>
  <c r="C19" i="2"/>
  <c r="C35" i="2"/>
  <c r="C52" i="2"/>
  <c r="C62" i="2"/>
  <c r="C58" i="2"/>
  <c r="C44" i="2"/>
  <c r="C7" i="2"/>
  <c r="C15" i="2"/>
  <c r="C26" i="2"/>
  <c r="C28" i="2"/>
  <c r="C45" i="2"/>
  <c r="C49" i="2"/>
  <c r="C65" i="2"/>
  <c r="C30" i="2"/>
  <c r="C38" i="2"/>
  <c r="C13" i="2"/>
  <c r="C46" i="2"/>
  <c r="C64" i="2"/>
  <c r="C32" i="2"/>
  <c r="C21" i="2"/>
  <c r="C33" i="2"/>
  <c r="C27" i="2"/>
  <c r="C56" i="2"/>
  <c r="C31" i="2"/>
  <c r="C17" i="2"/>
  <c r="C54" i="2"/>
  <c r="C20" i="2"/>
  <c r="C18" i="2"/>
  <c r="C51" i="2"/>
  <c r="C43" i="2"/>
  <c r="C25" i="2"/>
  <c r="C69" i="2"/>
  <c r="C48" i="2"/>
  <c r="C23" i="2"/>
  <c r="C55" i="2"/>
  <c r="C50" i="2"/>
  <c r="C42" i="2"/>
  <c r="C2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6" authorId="0" shapeId="0" xr:uid="{00000000-0006-0000-0100-000001000000}">
      <text>
        <r>
          <rPr>
            <sz val="10"/>
            <rFont val="FreeSans"/>
            <family val="2"/>
          </rPr>
          <t>هذا صف مثال بلون أخضر يوضح طريقة التعبئة - احذفه أو استبدله ببياناتك الحقيقية</t>
        </r>
        <r>
          <rPr>
            <sz val="10"/>
            <rFont val="Arial"/>
            <family val="2"/>
          </rPr>
          <t xml:space="preserve">.
</t>
        </r>
        <r>
          <rPr>
            <sz val="10"/>
            <rFont val="FreeSans"/>
            <family val="2"/>
          </rPr>
          <t>الخلايا الصفراء (عدد الوحدات، السعر، الخصم، المدفوع) هي اللي بتدخلها انت يدويًا</t>
        </r>
        <r>
          <rPr>
            <sz val="10"/>
            <rFont val="Arial"/>
            <family val="2"/>
          </rPr>
          <t xml:space="preserve">.
</t>
        </r>
        <r>
          <rPr>
            <sz val="10"/>
            <rFont val="FreeSans"/>
            <family val="2"/>
          </rPr>
          <t>عمود (التاريخ) بيتسجل لوحده أول ما تكتب اسم العميل - متكتبوش فيه يدوي</t>
        </r>
        <r>
          <rPr>
            <sz val="10"/>
            <rFont val="Arial"/>
            <family val="2"/>
          </rPr>
          <t xml:space="preserve">.
</t>
        </r>
        <r>
          <rPr>
            <sz val="10"/>
            <rFont val="FreeSans"/>
            <family val="2"/>
          </rPr>
          <t>أعمدة (المتبقي تسليمه، بعد الخصم، المتبقي المالي، حالة الدفع، حالة التسليم) بتتحسب لوحدها</t>
        </r>
        <r>
          <rPr>
            <sz val="10"/>
            <rFont val="Arial"/>
            <family val="2"/>
          </rPr>
          <t>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6" authorId="0" shapeId="0" xr:uid="{00000000-0006-0000-0300-000001000000}">
      <text>
        <r>
          <rPr>
            <sz val="10"/>
            <rFont val="FreeSans"/>
            <family val="2"/>
          </rPr>
          <t>عمود (عدد العملاء اللي قفلهم) و(إجمالي العمولة) و(إجمالي المستحق) بتتحسب لوحدها تلقائيًا،
بناءً على اسم الموظف في عمود (الموظف المسؤول عن الديل) بشيت الطلبات</t>
        </r>
        <r>
          <rPr>
            <sz val="10"/>
            <rFont val="Arial"/>
            <family val="2"/>
          </rPr>
          <t xml:space="preserve">.
</t>
        </r>
        <r>
          <rPr>
            <sz val="10"/>
            <rFont val="FreeSans"/>
            <family val="2"/>
          </rPr>
          <t>لازم اسم الموظف هنا يتطابق تمامًا مع الاسم اللي هيتكتب في شيت الطلبات</t>
        </r>
        <r>
          <rPr>
            <sz val="10"/>
            <rFont val="Arial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<sst xmlns="http://schemas.openxmlformats.org/spreadsheetml/2006/main" count="269" uniqueCount="164">
  <si>
    <t>لوحة تحكم البزنس</t>
  </si>
  <si>
    <t>ملخص شامل للمبيعات والمصروفات وصافي الربح</t>
  </si>
  <si>
    <t>المؤشر</t>
  </si>
  <si>
    <t>القيمة</t>
  </si>
  <si>
    <t>عدد الطلبات</t>
  </si>
  <si>
    <t>إجمالي قيمة الطلبات (بعد الخصم)</t>
  </si>
  <si>
    <t>إجمالي المبالغ المحصّلة فعليًا</t>
  </si>
  <si>
    <t>إجمالي المبالغ المتبقية على العملاء</t>
  </si>
  <si>
    <t>إجمالي تكلفة الإعلانات</t>
  </si>
  <si>
    <t>إجمالي رواتب وعمولات الموظفين (شهريًا)</t>
  </si>
  <si>
    <t>إجمالي المصروفات (إعلانات + رواتب وعمولات)</t>
  </si>
  <si>
    <t>صافي الربح / الخسارة (على المحصّل فعليًا)</t>
  </si>
  <si>
    <t>ملاحظات:</t>
  </si>
  <si>
    <t>- كل الأرقام هنا بتتحدث تلقائيًا من شيت (الطلبات) و(الإعلانات) و(الموظفين).</t>
  </si>
  <si>
    <t>- صافي الربح محسوب على أساس المبالغ اللي اتحصّلت فعليًا (مش كل قيمة الطلبات) عشان يديك صورة حقيقية للكاش.</t>
  </si>
  <si>
    <t>- لو عاوز تعرف الربح المتوقع بعد تحصيل كل المتبقي، اجمع صافي الربح مع (إجمالي المبالغ المتبقية على العملاء).</t>
  </si>
  <si>
    <t>سجل طلبات العملاء</t>
  </si>
  <si>
    <t>كل طلب = عميل واتساب طلب تنسيق كتب/سلايدات — التاريخ بيتسجل لوحده أول ما تكتب اسم العميل</t>
  </si>
  <si>
    <t>رقم الطلب</t>
  </si>
  <si>
    <t>التاريخ</t>
  </si>
  <si>
    <t>اسم العميل</t>
  </si>
  <si>
    <t>رقم الواتساب</t>
  </si>
  <si>
    <t>الموظف المسؤول عن الديل</t>
  </si>
  <si>
    <t>الكتب/المواد المطلوب تنسيقها</t>
  </si>
  <si>
    <t>عدد الوحدات المطلوبة
(مثلاً عدد الصفوف)</t>
  </si>
  <si>
    <t>عدد الوحدات المُسلَّمة</t>
  </si>
  <si>
    <t>المتبقي تسليمه</t>
  </si>
  <si>
    <t>السعر الأصلي</t>
  </si>
  <si>
    <t>نسبة الخصم %</t>
  </si>
  <si>
    <t>السعر بعد الخصم</t>
  </si>
  <si>
    <t>المبلغ المدفوع</t>
  </si>
  <si>
    <t>المبلغ المتبقي</t>
  </si>
  <si>
    <t>حالة الدفع</t>
  </si>
  <si>
    <t>حالة التسليم</t>
  </si>
  <si>
    <t>ملاحظات</t>
  </si>
  <si>
    <t>سارة علي</t>
  </si>
  <si>
    <t>مصروفات الحملات الإعلانية</t>
  </si>
  <si>
    <t>سجّل هنا كل مبلغ بتصرفه على الإعلانات الممولة (فيسبوك/انستغرام/تيك توك...)</t>
  </si>
  <si>
    <t>اسم الحملة</t>
  </si>
  <si>
    <t>المنصة</t>
  </si>
  <si>
    <t>المدة (أيام)</t>
  </si>
  <si>
    <t>المبلغ المصروف</t>
  </si>
  <si>
    <t>إجمالي المصروف على الإعلانات:</t>
  </si>
  <si>
    <t>01/08/2026</t>
  </si>
  <si>
    <t>حملة انستغرام - تنسيق كتب</t>
  </si>
  <si>
    <t>انستغرام</t>
  </si>
  <si>
    <t>استهداف أولياء أمور طلبة الثانوية</t>
  </si>
  <si>
    <t>الموظفين والمرتبات والعمولات</t>
  </si>
  <si>
    <t>سجّل هنا أي موظف ومرتبه، وعمولته عن كل عميل يقفل الديل معاه - العدد والإجمالي بيتحسبوا لوحدهم من شيت الطلبات</t>
  </si>
  <si>
    <t>اسم الموظف</t>
  </si>
  <si>
    <t>الوظيفة</t>
  </si>
  <si>
    <t>الراتب الشهري</t>
  </si>
  <si>
    <t>العمولة عن كل عميل</t>
  </si>
  <si>
    <t>عدد العملاء اللي قفلهم</t>
  </si>
  <si>
    <t>إجمالي العمولة</t>
  </si>
  <si>
    <t>إجمالي المستحق (راتب+عمولة)</t>
  </si>
  <si>
    <t>إجمالي الرواتب + العمولات:</t>
  </si>
  <si>
    <t>خدمة عملاء ومبيعات (رد على واتساب وقفل الديل)</t>
  </si>
  <si>
    <t>راتب ثابت + عمولة</t>
  </si>
  <si>
    <t>بتستلم كل استفسارات الواتساب</t>
  </si>
  <si>
    <t>محمود حنفي</t>
  </si>
  <si>
    <t>المعاصر رياضيات 1ع و 2ع</t>
  </si>
  <si>
    <t>محمود أحمد ندا</t>
  </si>
  <si>
    <t>مهند إبراهيم</t>
  </si>
  <si>
    <t>سامي أبو النصر</t>
  </si>
  <si>
    <t>حملة فيسبوك - كتاب المعاصر</t>
  </si>
  <si>
    <t>فيسبوك</t>
  </si>
  <si>
    <t>المعاصر رياضيات 1ع و 2ع و 3ع</t>
  </si>
  <si>
    <t>تامر شعبان أحمد</t>
  </si>
  <si>
    <t>المعاصر رياضيات 1ع و 2ع و3ع و1ث و2ث</t>
  </si>
  <si>
    <t>أحمد أبو عمر</t>
  </si>
  <si>
    <t>المعاصر رياضيات 1ع و2ع و3ع</t>
  </si>
  <si>
    <t>أحمد شهاب</t>
  </si>
  <si>
    <t>المعاصر رياضيات 3ع و1ث</t>
  </si>
  <si>
    <t>رضا خيرت علي</t>
  </si>
  <si>
    <t>المعاصر رياضيات 1ع و2ع و3ع و1ث</t>
  </si>
  <si>
    <t>حسين أنور</t>
  </si>
  <si>
    <t>علاء الغريب</t>
  </si>
  <si>
    <t>المعاصر 1ع و2ع و3ع</t>
  </si>
  <si>
    <t>حسام البحيري</t>
  </si>
  <si>
    <t>المعاصر رياضيات 1ع</t>
  </si>
  <si>
    <t>محمود عيسي</t>
  </si>
  <si>
    <t>محمد أبو حجازي</t>
  </si>
  <si>
    <t>محمد عادل النعيمي</t>
  </si>
  <si>
    <t>المعاصر ماث 3ع و1ث</t>
  </si>
  <si>
    <t>إبراهيم نوار</t>
  </si>
  <si>
    <t>Farghl Ramadan</t>
  </si>
  <si>
    <t>المعاصر ماث 1ع و2ع و3ع</t>
  </si>
  <si>
    <t>Eslam Elsamahy</t>
  </si>
  <si>
    <t>المغربي صابر صابر</t>
  </si>
  <si>
    <t>المعاصر رياضيات 1ع و2ع و 3ع</t>
  </si>
  <si>
    <t>نشيل صورة المستر من 2ع و3ع</t>
  </si>
  <si>
    <t>مجدي إمام</t>
  </si>
  <si>
    <t>المعاصر رياضيات 1ث و2ث</t>
  </si>
  <si>
    <t>أحمد رفعت</t>
  </si>
  <si>
    <t>نمسح الصورة ورقم التليفون من الفريم</t>
  </si>
  <si>
    <t>محمود سامح</t>
  </si>
  <si>
    <t>خليل محمود</t>
  </si>
  <si>
    <t>المعاصر رياضيات  1ع و2ع و3ع</t>
  </si>
  <si>
    <t>كيرلس قاصد</t>
  </si>
  <si>
    <t>المعاصر رياضيات 1ع و2ع و3ع و1ث و2ث</t>
  </si>
  <si>
    <t>محمد وليد محمد</t>
  </si>
  <si>
    <t>عمر المأزون</t>
  </si>
  <si>
    <t>أحمد حلمي مصطفي</t>
  </si>
  <si>
    <t>أحمد لامي</t>
  </si>
  <si>
    <t>محمد زيدان</t>
  </si>
  <si>
    <t>أحمد حسين</t>
  </si>
  <si>
    <t>محمد عبدالحميد</t>
  </si>
  <si>
    <t>أحمد سمير إبراهيم</t>
  </si>
  <si>
    <t>إبراهيم فوزي</t>
  </si>
  <si>
    <t>المعاصر رياضيات 3ع 2ث</t>
  </si>
  <si>
    <t>مها الكمار</t>
  </si>
  <si>
    <t>عادل زيدان</t>
  </si>
  <si>
    <t>سعيد وهدان</t>
  </si>
  <si>
    <t>إبراهيم عبدالمولي</t>
  </si>
  <si>
    <t>عبدالرحمن مصطفي الهلالي</t>
  </si>
  <si>
    <t>خالد كمال الدين</t>
  </si>
  <si>
    <t>أسامة عبد اللطيف</t>
  </si>
  <si>
    <t>حمدي محمد</t>
  </si>
  <si>
    <t>Mohamed farid</t>
  </si>
  <si>
    <t>القناوي المهدي</t>
  </si>
  <si>
    <t>علي محمد عبدالرؤوف</t>
  </si>
  <si>
    <t>محمد أسامة أبو العينين</t>
  </si>
  <si>
    <t>إبراهيم الدسوقي محمد</t>
  </si>
  <si>
    <t>محمد القللي</t>
  </si>
  <si>
    <t>خالد عبدالفتاح</t>
  </si>
  <si>
    <t xml:space="preserve"> </t>
  </si>
  <si>
    <t>سعيد صابر الهلالي</t>
  </si>
  <si>
    <t>المعاصر رياضيات 1ع و2ع</t>
  </si>
  <si>
    <t>عبد الرحمن لطفي</t>
  </si>
  <si>
    <t>سماح رجب</t>
  </si>
  <si>
    <t>منال أبو جلالة</t>
  </si>
  <si>
    <t>المعاصر رياضيات 2ع و3ع</t>
  </si>
  <si>
    <t>محمد عصام</t>
  </si>
  <si>
    <t>الدكتور يحي</t>
  </si>
  <si>
    <t>خالد أبو هشة</t>
  </si>
  <si>
    <t>النبيل</t>
  </si>
  <si>
    <t>محمد عادل - Mr mohamed adel</t>
  </si>
  <si>
    <t>علي البدري</t>
  </si>
  <si>
    <t>لغي حجز</t>
  </si>
  <si>
    <t>محمد نهاد</t>
  </si>
  <si>
    <t>محمد الجندي</t>
  </si>
  <si>
    <t xml:space="preserve">محمد سعد </t>
  </si>
  <si>
    <t xml:space="preserve">المعاصر رياضيات 1ع و2ع و3ع </t>
  </si>
  <si>
    <t>تعديل الصورة</t>
  </si>
  <si>
    <t>السيد محمود</t>
  </si>
  <si>
    <t>محمد محمود</t>
  </si>
  <si>
    <t>تسليم عملاء</t>
  </si>
  <si>
    <t>محمد صلاح رمضان</t>
  </si>
  <si>
    <t>تعديل الوتر مارك</t>
  </si>
  <si>
    <t>المعاصر ماث 1ع و2ع و3ع ماث</t>
  </si>
  <si>
    <t>المعاصر ماث 2ع و3ع</t>
  </si>
  <si>
    <t xml:space="preserve">الأمثلة وحاول بنفسك 1ع و2ع و3ع </t>
  </si>
  <si>
    <t>اول وحدة ف 3</t>
  </si>
  <si>
    <t>المعاصر رياضيات 1ع و2غ</t>
  </si>
  <si>
    <t>أول وحدة ف 3</t>
  </si>
  <si>
    <t>مجدي زكي</t>
  </si>
  <si>
    <t>المعاصر رياضيات 1ع  و2ع و3ع</t>
  </si>
  <si>
    <t>المعاصر ررياضيات 1ع و2ع و3ع</t>
  </si>
  <si>
    <t>تم تعديل الوتر مارك</t>
  </si>
  <si>
    <t>علاء الدين محمد علي</t>
  </si>
  <si>
    <t>المعاصر رياضيات 1ع و2ع و3ع وث</t>
  </si>
  <si>
    <t>عطية كامل حنا</t>
  </si>
  <si>
    <t xml:space="preserve">المعاصر رياضيات 1ع و2ع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</si>
</sst>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&quot; جنيه&quot;"/>
    <numFmt numFmtId="165" formatCode="[=0]&quot;&quot;;dd/mm/yyyy"/>
    <numFmt numFmtId="166" formatCode="[$-2000401]0"/>
  </numFmts>
  <fonts count="13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0"/>
      <color rgb="FF808080"/>
      <name val="Arial"/>
      <charset val="1"/>
    </font>
    <font>
      <b/>
      <sz val="12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2"/>
      <color rgb="FF1F4E78"/>
      <name val="Arial"/>
      <charset val="1"/>
    </font>
    <font>
      <i/>
      <sz val="10"/>
      <color rgb="FF595959"/>
      <name val="Arial"/>
      <charset val="1"/>
    </font>
    <font>
      <sz val="10"/>
      <name val="FreeSans"/>
      <family val="2"/>
    </font>
    <font>
      <sz val="10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C6E0B4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E2EFDA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E2EFDA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E2EFDA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E2EFDA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2EFDA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E2EFDA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right" vertical="center" wrapText="1"/>
    </xf>
    <xf numFmtId="164" fontId="6" fillId="4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7" fillId="0" borderId="0" xfId="0" applyFont="1" applyAlignment="1">
      <alignment horizontal="right" wrapText="1"/>
    </xf>
    <xf numFmtId="0" fontId="3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5" fontId="0" fillId="5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9" fontId="5" fillId="5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9" fontId="5" fillId="6" borderId="1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4" fillId="0" borderId="0" xfId="0" applyNumberFormat="1" applyFont="1"/>
    <xf numFmtId="164" fontId="4" fillId="2" borderId="1" xfId="0" applyNumberFormat="1" applyFont="1" applyFill="1" applyBorder="1" applyAlignment="1">
      <alignment horizontal="center"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0" fillId="9" borderId="0" xfId="0" applyFill="1"/>
    <xf numFmtId="0" fontId="5" fillId="9" borderId="1" xfId="0" applyFont="1" applyFill="1" applyBorder="1" applyAlignment="1">
      <alignment horizontal="center" vertical="center" wrapText="1"/>
    </xf>
    <xf numFmtId="165" fontId="5" fillId="9" borderId="1" xfId="0" applyNumberFormat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164" fontId="5" fillId="10" borderId="1" xfId="0" applyNumberFormat="1" applyFont="1" applyFill="1" applyBorder="1" applyAlignment="1">
      <alignment horizontal="center" vertical="center" wrapText="1"/>
    </xf>
    <xf numFmtId="9" fontId="5" fillId="10" borderId="1" xfId="0" applyNumberFormat="1" applyFont="1" applyFill="1" applyBorder="1" applyAlignment="1">
      <alignment horizontal="center" vertical="center" wrapText="1"/>
    </xf>
    <xf numFmtId="164" fontId="5" fillId="9" borderId="1" xfId="0" applyNumberFormat="1" applyFont="1" applyFill="1" applyBorder="1" applyAlignment="1">
      <alignment horizontal="center" vertical="center" wrapText="1"/>
    </xf>
    <xf numFmtId="0" fontId="0" fillId="11" borderId="0" xfId="0" applyFill="1"/>
    <xf numFmtId="0" fontId="5" fillId="11" borderId="1" xfId="0" applyFont="1" applyFill="1" applyBorder="1" applyAlignment="1">
      <alignment horizontal="center" vertical="center" wrapText="1"/>
    </xf>
    <xf numFmtId="165" fontId="5" fillId="11" borderId="1" xfId="0" applyNumberFormat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164" fontId="5" fillId="12" borderId="1" xfId="0" applyNumberFormat="1" applyFont="1" applyFill="1" applyBorder="1" applyAlignment="1">
      <alignment horizontal="center" vertical="center" wrapText="1"/>
    </xf>
    <xf numFmtId="9" fontId="5" fillId="12" borderId="1" xfId="0" applyNumberFormat="1" applyFont="1" applyFill="1" applyBorder="1" applyAlignment="1">
      <alignment horizontal="center" vertical="center" wrapText="1"/>
    </xf>
    <xf numFmtId="164" fontId="5" fillId="11" borderId="1" xfId="0" applyNumberFormat="1" applyFont="1" applyFill="1" applyBorder="1" applyAlignment="1">
      <alignment horizontal="center" vertical="center" wrapText="1"/>
    </xf>
    <xf numFmtId="165" fontId="5" fillId="13" borderId="1" xfId="0" applyNumberFormat="1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164" fontId="5" fillId="14" borderId="1" xfId="0" applyNumberFormat="1" applyFont="1" applyFill="1" applyBorder="1" applyAlignment="1">
      <alignment horizontal="center" vertical="center" wrapText="1"/>
    </xf>
    <xf numFmtId="9" fontId="5" fillId="14" borderId="1" xfId="0" applyNumberFormat="1" applyFont="1" applyFill="1" applyBorder="1" applyAlignment="1">
      <alignment horizontal="center" vertical="center" wrapText="1"/>
    </xf>
    <xf numFmtId="164" fontId="5" fillId="13" borderId="1" xfId="0" applyNumberFormat="1" applyFont="1" applyFill="1" applyBorder="1" applyAlignment="1">
      <alignment horizontal="center" vertical="center" wrapText="1"/>
    </xf>
    <xf numFmtId="0" fontId="0" fillId="13" borderId="0" xfId="0" applyFill="1"/>
    <xf numFmtId="0" fontId="12" fillId="11" borderId="1" xfId="0" applyFont="1" applyFill="1" applyBorder="1" applyAlignment="1">
      <alignment horizontal="center" vertical="center" wrapText="1"/>
    </xf>
    <xf numFmtId="164" fontId="5" fillId="15" borderId="1" xfId="0" applyNumberFormat="1" applyFont="1" applyFill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165" fontId="5" fillId="16" borderId="1" xfId="0" applyNumberFormat="1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164" fontId="5" fillId="17" borderId="1" xfId="0" applyNumberFormat="1" applyFont="1" applyFill="1" applyBorder="1" applyAlignment="1">
      <alignment horizontal="center" vertical="center" wrapText="1"/>
    </xf>
    <xf numFmtId="9" fontId="5" fillId="17" borderId="1" xfId="0" applyNumberFormat="1" applyFont="1" applyFill="1" applyBorder="1" applyAlignment="1">
      <alignment horizontal="center" vertical="center" wrapText="1"/>
    </xf>
    <xf numFmtId="164" fontId="5" fillId="16" borderId="1" xfId="0" applyNumberFormat="1" applyFont="1" applyFill="1" applyBorder="1" applyAlignment="1">
      <alignment horizontal="center" vertical="center" wrapText="1"/>
    </xf>
    <xf numFmtId="0" fontId="0" fillId="16" borderId="0" xfId="0" applyFill="1"/>
    <xf numFmtId="0" fontId="12" fillId="16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165" fontId="5" fillId="18" borderId="1" xfId="0" applyNumberFormat="1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 wrapText="1"/>
    </xf>
    <xf numFmtId="164" fontId="5" fillId="19" borderId="1" xfId="0" applyNumberFormat="1" applyFont="1" applyFill="1" applyBorder="1" applyAlignment="1">
      <alignment horizontal="center" vertical="center" wrapText="1"/>
    </xf>
    <xf numFmtId="9" fontId="5" fillId="19" borderId="1" xfId="0" applyNumberFormat="1" applyFont="1" applyFill="1" applyBorder="1" applyAlignment="1">
      <alignment horizontal="center" vertical="center" wrapText="1"/>
    </xf>
    <xf numFmtId="164" fontId="5" fillId="18" borderId="1" xfId="0" applyNumberFormat="1" applyFont="1" applyFill="1" applyBorder="1" applyAlignment="1">
      <alignment horizontal="center" vertical="center" wrapText="1"/>
    </xf>
    <xf numFmtId="0" fontId="0" fillId="18" borderId="0" xfId="0" applyFill="1"/>
    <xf numFmtId="0" fontId="10" fillId="18" borderId="1" xfId="0" applyFont="1" applyFill="1" applyBorder="1" applyAlignment="1">
      <alignment horizontal="center" vertical="center" wrapText="1"/>
    </xf>
    <xf numFmtId="164" fontId="11" fillId="6" borderId="1" xfId="0" applyNumberFormat="1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center" vertical="center" wrapText="1"/>
    </xf>
    <xf numFmtId="165" fontId="5" fillId="20" borderId="1" xfId="0" applyNumberFormat="1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center" vertical="center" wrapText="1"/>
    </xf>
    <xf numFmtId="164" fontId="5" fillId="21" borderId="1" xfId="0" applyNumberFormat="1" applyFont="1" applyFill="1" applyBorder="1" applyAlignment="1">
      <alignment horizontal="center" vertical="center" wrapText="1"/>
    </xf>
    <xf numFmtId="9" fontId="5" fillId="21" borderId="1" xfId="0" applyNumberFormat="1" applyFont="1" applyFill="1" applyBorder="1" applyAlignment="1">
      <alignment horizontal="center" vertical="center" wrapText="1"/>
    </xf>
    <xf numFmtId="164" fontId="5" fillId="20" borderId="1" xfId="0" applyNumberFormat="1" applyFont="1" applyFill="1" applyBorder="1" applyAlignment="1">
      <alignment horizontal="center" vertical="center" wrapText="1"/>
    </xf>
    <xf numFmtId="0" fontId="12" fillId="20" borderId="1" xfId="0" applyFont="1" applyFill="1" applyBorder="1" applyAlignment="1">
      <alignment horizontal="center" vertical="center" wrapText="1"/>
    </xf>
    <xf numFmtId="0" fontId="0" fillId="20" borderId="0" xfId="0" applyFill="1"/>
    <xf numFmtId="0" fontId="1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9"/>
  <sheetViews>
    <sheetView showGridLines="0" rightToLeft="1" zoomScaleNormal="100" workbookViewId="0"/>
  </sheetViews>
  <sheetFormatPr defaultColWidth="8.6328125" defaultRowHeight="14.5"/>
  <cols>
    <col min="1" max="1" width="4" customWidth="1"/>
    <col min="2" max="2" width="42" customWidth="1"/>
    <col min="3" max="3" width="20" customWidth="1"/>
    <col min="4" max="4" width="4" customWidth="1"/>
  </cols>
  <sheetData>
    <row r="2" spans="2:3" ht="20">
      <c r="B2" s="1" t="s">
        <v>0</v>
      </c>
    </row>
    <row r="3" spans="2:3">
      <c r="B3" s="2" t="s">
        <v>1</v>
      </c>
    </row>
    <row r="5" spans="2:3" ht="15.5">
      <c r="B5" s="3" t="s">
        <v>2</v>
      </c>
      <c r="C5" s="3" t="s">
        <v>3</v>
      </c>
    </row>
    <row r="6" spans="2:3">
      <c r="B6" s="4" t="s">
        <v>4</v>
      </c>
      <c r="C6" s="5">
        <f>COUNTA(الطلبات!D6:D1000)</f>
        <v>63</v>
      </c>
    </row>
    <row r="7" spans="2:3">
      <c r="B7" s="4" t="s">
        <v>5</v>
      </c>
      <c r="C7" s="6">
        <f>SUM(الطلبات!M6:M1000)</f>
        <v>108138</v>
      </c>
    </row>
    <row r="8" spans="2:3">
      <c r="B8" s="4" t="s">
        <v>6</v>
      </c>
      <c r="C8" s="6">
        <f>SUM(الطلبات!N6:N1000)</f>
        <v>75100</v>
      </c>
    </row>
    <row r="9" spans="2:3">
      <c r="B9" s="4" t="s">
        <v>7</v>
      </c>
      <c r="C9" s="6">
        <f>SUM(الطلبات!O6:O1000)</f>
        <v>33038</v>
      </c>
    </row>
    <row r="10" spans="2:3">
      <c r="B10" s="4" t="s">
        <v>8</v>
      </c>
      <c r="C10" s="6">
        <f>SUM(الإعلانات!F6:F1000)</f>
        <v>11300</v>
      </c>
    </row>
    <row r="11" spans="2:3">
      <c r="B11" s="4" t="s">
        <v>9</v>
      </c>
      <c r="C11" s="6">
        <f>SUM(الموظفين!H6:H1000)</f>
        <v>11725</v>
      </c>
    </row>
    <row r="12" spans="2:3">
      <c r="B12" s="4" t="s">
        <v>10</v>
      </c>
      <c r="C12" s="6">
        <f>C10+C11</f>
        <v>23025</v>
      </c>
    </row>
    <row r="13" spans="2:3" ht="15.5">
      <c r="B13" s="7" t="s">
        <v>11</v>
      </c>
      <c r="C13" s="8">
        <f>C8-C12</f>
        <v>52075</v>
      </c>
    </row>
    <row r="16" spans="2:3">
      <c r="B16" s="9" t="s">
        <v>12</v>
      </c>
    </row>
    <row r="17" spans="2:2" ht="26">
      <c r="B17" s="10" t="s">
        <v>13</v>
      </c>
    </row>
    <row r="18" spans="2:2" ht="26">
      <c r="B18" s="10" t="s">
        <v>14</v>
      </c>
    </row>
    <row r="19" spans="2:2" ht="26">
      <c r="B19" s="10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R200"/>
  <sheetViews>
    <sheetView showGridLines="0" rightToLeft="1" zoomScale="85" zoomScaleNormal="85" workbookViewId="0">
      <pane xSplit="2" ySplit="5" topLeftCell="F6" activePane="bottomRight" state="frozen"/>
      <selection pane="topRight" activeCell="C1" sqref="C1"/>
      <selection pane="bottomLeft" activeCell="A6" sqref="A6"/>
      <selection pane="bottomRight" activeCell="Q7" sqref="Q7"/>
    </sheetView>
  </sheetViews>
  <sheetFormatPr defaultColWidth="8.6328125" defaultRowHeight="14.5"/>
  <cols>
    <col min="1" max="1" width="3" customWidth="1"/>
    <col min="2" max="2" width="8" customWidth="1"/>
    <col min="3" max="3" width="12" customWidth="1"/>
    <col min="4" max="4" width="14" customWidth="1"/>
    <col min="5" max="5" width="15" customWidth="1"/>
    <col min="6" max="6" width="16" customWidth="1"/>
    <col min="7" max="7" width="26" customWidth="1"/>
    <col min="8" max="8" width="13" customWidth="1"/>
    <col min="9" max="11" width="12" customWidth="1"/>
    <col min="12" max="12" width="11" customWidth="1"/>
    <col min="13" max="16" width="12" customWidth="1"/>
    <col min="17" max="17" width="14" customWidth="1"/>
    <col min="18" max="18" width="22" customWidth="1"/>
  </cols>
  <sheetData>
    <row r="2" spans="1:18" ht="20">
      <c r="B2" s="1" t="s">
        <v>16</v>
      </c>
    </row>
    <row r="3" spans="1:18">
      <c r="B3" s="2" t="s">
        <v>17</v>
      </c>
    </row>
    <row r="5" spans="1:18" ht="43.5" customHeight="1">
      <c r="B5" s="11" t="s">
        <v>18</v>
      </c>
      <c r="C5" s="11" t="s">
        <v>19</v>
      </c>
      <c r="D5" s="11" t="s">
        <v>20</v>
      </c>
      <c r="E5" s="11" t="s">
        <v>21</v>
      </c>
      <c r="F5" s="11" t="s">
        <v>22</v>
      </c>
      <c r="G5" s="11" t="s">
        <v>23</v>
      </c>
      <c r="H5" s="11" t="s">
        <v>24</v>
      </c>
      <c r="I5" s="11" t="s">
        <v>25</v>
      </c>
      <c r="J5" s="11" t="s">
        <v>26</v>
      </c>
      <c r="K5" s="11" t="s">
        <v>27</v>
      </c>
      <c r="L5" s="11" t="s">
        <v>28</v>
      </c>
      <c r="M5" s="11" t="s">
        <v>29</v>
      </c>
      <c r="N5" s="11" t="s">
        <v>30</v>
      </c>
      <c r="O5" s="11" t="s">
        <v>31</v>
      </c>
      <c r="P5" s="11" t="s">
        <v>32</v>
      </c>
      <c r="Q5" s="11" t="s">
        <v>33</v>
      </c>
      <c r="R5" s="11" t="s">
        <v>34</v>
      </c>
    </row>
    <row r="6" spans="1:18">
      <c r="B6" s="12"/>
      <c r="C6" s="13"/>
      <c r="D6" s="12"/>
      <c r="E6" s="12"/>
      <c r="F6" s="12"/>
      <c r="G6" s="12"/>
      <c r="H6" s="12"/>
      <c r="I6" s="12"/>
      <c r="J6" s="14"/>
      <c r="K6" s="15"/>
      <c r="L6" s="16"/>
      <c r="M6" s="17"/>
      <c r="N6" s="15"/>
      <c r="O6" s="17"/>
      <c r="P6" s="14"/>
      <c r="Q6" s="14"/>
      <c r="R6" s="12"/>
    </row>
    <row r="7" spans="1:18" ht="28">
      <c r="B7" s="18"/>
      <c r="C7" s="19">
        <f t="shared" ref="C7:C15" ca="1" si="0">IF(D7="",0,IF(C7=0,TODAY(),C7))</f>
        <v>0</v>
      </c>
      <c r="D7" s="18" t="s">
        <v>138</v>
      </c>
      <c r="E7" s="18">
        <v>1015666206</v>
      </c>
      <c r="F7" s="18" t="s">
        <v>63</v>
      </c>
      <c r="G7" s="18" t="s">
        <v>75</v>
      </c>
      <c r="H7" s="20">
        <v>4</v>
      </c>
      <c r="I7" s="20">
        <v>2</v>
      </c>
      <c r="J7" s="18">
        <f t="shared" ref="J7:J15" si="1">IF(H7="","",H7-I7)</f>
        <v>2</v>
      </c>
      <c r="K7" s="21">
        <v>2400</v>
      </c>
      <c r="L7" s="22"/>
      <c r="M7" s="23">
        <f t="shared" ref="M7:M15" si="2">IF(K7="","",K7*(1-L7))</f>
        <v>2400</v>
      </c>
      <c r="N7" s="21">
        <v>2400</v>
      </c>
      <c r="O7" s="54">
        <f t="shared" ref="O7:O15" si="3">IF(M7="","",M7-N7)</f>
        <v>0</v>
      </c>
      <c r="P7" s="18" t="str">
        <f t="shared" ref="P7:P15" si="4">IF(K7="","",IF(O7&lt;=0,"مدفوع بالكامل",IF(N7=0,"لم يدفع","دفع جزئي")))</f>
        <v>مدفوع بالكامل</v>
      </c>
      <c r="Q7" s="18" t="str">
        <f t="shared" ref="Q7:Q15" si="5">IF(H7="","",IF(J7&lt;=0,"تم التسليم بالكامل",IF(I7=0,"لم يبدأ التنفيذ","تسليم جزئي")))</f>
        <v>تسليم جزئي</v>
      </c>
      <c r="R7" s="18" t="s">
        <v>153</v>
      </c>
    </row>
    <row r="8" spans="1:18" s="32" customFormat="1">
      <c r="B8" s="33"/>
      <c r="C8" s="34">
        <f t="shared" ca="1" si="0"/>
        <v>0</v>
      </c>
      <c r="D8" s="33" t="s">
        <v>129</v>
      </c>
      <c r="E8" s="33">
        <v>1050963072</v>
      </c>
      <c r="F8" s="33" t="s">
        <v>63</v>
      </c>
      <c r="G8" s="33" t="s">
        <v>154</v>
      </c>
      <c r="H8" s="35">
        <v>2</v>
      </c>
      <c r="I8" s="35">
        <v>2</v>
      </c>
      <c r="J8" s="33">
        <f t="shared" si="1"/>
        <v>0</v>
      </c>
      <c r="K8" s="36">
        <v>1200</v>
      </c>
      <c r="L8" s="37"/>
      <c r="M8" s="38">
        <f t="shared" si="2"/>
        <v>1200</v>
      </c>
      <c r="N8" s="36">
        <v>1200</v>
      </c>
      <c r="O8" s="54">
        <f t="shared" si="3"/>
        <v>0</v>
      </c>
      <c r="P8" s="33" t="str">
        <f t="shared" si="4"/>
        <v>مدفوع بالكامل</v>
      </c>
      <c r="Q8" s="53" t="str">
        <f t="shared" si="5"/>
        <v>تم التسليم بالكامل</v>
      </c>
      <c r="R8" s="33"/>
    </row>
    <row r="9" spans="1:18">
      <c r="B9" s="18"/>
      <c r="C9" s="19">
        <f t="shared" ca="1" si="0"/>
        <v>0</v>
      </c>
      <c r="D9" s="18" t="s">
        <v>133</v>
      </c>
      <c r="E9" s="18">
        <v>1125939533</v>
      </c>
      <c r="F9" s="18" t="s">
        <v>63</v>
      </c>
      <c r="G9" s="18" t="s">
        <v>71</v>
      </c>
      <c r="H9" s="20">
        <v>3</v>
      </c>
      <c r="I9" s="20">
        <v>2</v>
      </c>
      <c r="J9" s="18">
        <f t="shared" si="1"/>
        <v>1</v>
      </c>
      <c r="K9" s="21">
        <v>1800</v>
      </c>
      <c r="L9" s="22"/>
      <c r="M9" s="23">
        <f t="shared" si="2"/>
        <v>1800</v>
      </c>
      <c r="N9" s="21">
        <v>1200</v>
      </c>
      <c r="O9" s="23">
        <f t="shared" si="3"/>
        <v>600</v>
      </c>
      <c r="P9" s="18" t="str">
        <f t="shared" si="4"/>
        <v>دفع جزئي</v>
      </c>
      <c r="Q9" s="18" t="str">
        <f t="shared" si="5"/>
        <v>تسليم جزئي</v>
      </c>
      <c r="R9" s="18"/>
    </row>
    <row r="10" spans="1:18">
      <c r="B10" s="18"/>
      <c r="C10" s="19">
        <f t="shared" ca="1" si="0"/>
        <v>0</v>
      </c>
      <c r="D10" s="18" t="s">
        <v>134</v>
      </c>
      <c r="E10" s="18">
        <v>11244414831</v>
      </c>
      <c r="F10" s="18" t="s">
        <v>63</v>
      </c>
      <c r="G10" s="18" t="s">
        <v>71</v>
      </c>
      <c r="H10" s="20">
        <v>3</v>
      </c>
      <c r="I10" s="20">
        <v>2</v>
      </c>
      <c r="J10" s="18">
        <f t="shared" si="1"/>
        <v>1</v>
      </c>
      <c r="K10" s="21">
        <v>1800</v>
      </c>
      <c r="L10" s="22"/>
      <c r="M10" s="23">
        <f t="shared" si="2"/>
        <v>1800</v>
      </c>
      <c r="N10" s="21">
        <v>1800</v>
      </c>
      <c r="O10" s="54">
        <f t="shared" si="3"/>
        <v>0</v>
      </c>
      <c r="P10" s="18" t="str">
        <f t="shared" si="4"/>
        <v>مدفوع بالكامل</v>
      </c>
      <c r="Q10" s="18" t="str">
        <f t="shared" si="5"/>
        <v>تسليم جزئي</v>
      </c>
      <c r="R10" s="18" t="s">
        <v>155</v>
      </c>
    </row>
    <row r="11" spans="1:18">
      <c r="B11" s="18"/>
      <c r="C11" s="19">
        <f t="shared" ca="1" si="0"/>
        <v>0</v>
      </c>
      <c r="D11" s="18" t="s">
        <v>135</v>
      </c>
      <c r="E11" s="18">
        <v>1067350572</v>
      </c>
      <c r="F11" s="18" t="s">
        <v>63</v>
      </c>
      <c r="G11" s="18" t="s">
        <v>93</v>
      </c>
      <c r="H11" s="20">
        <v>2</v>
      </c>
      <c r="I11" s="20"/>
      <c r="J11" s="18">
        <f t="shared" si="1"/>
        <v>2</v>
      </c>
      <c r="K11" s="21">
        <v>1800</v>
      </c>
      <c r="L11" s="22"/>
      <c r="M11" s="23">
        <f t="shared" si="2"/>
        <v>1800</v>
      </c>
      <c r="N11" s="21">
        <v>900</v>
      </c>
      <c r="O11" s="23">
        <f t="shared" si="3"/>
        <v>900</v>
      </c>
      <c r="P11" s="18" t="str">
        <f t="shared" si="4"/>
        <v>دفع جزئي</v>
      </c>
      <c r="Q11" s="18" t="str">
        <f t="shared" si="5"/>
        <v>لم يبدأ التنفيذ</v>
      </c>
      <c r="R11" s="18"/>
    </row>
    <row r="12" spans="1:18">
      <c r="B12" s="18"/>
      <c r="C12" s="19">
        <f t="shared" ca="1" si="0"/>
        <v>0</v>
      </c>
      <c r="D12" s="18" t="s">
        <v>136</v>
      </c>
      <c r="E12" s="18">
        <v>1003882297</v>
      </c>
      <c r="F12" s="18" t="s">
        <v>63</v>
      </c>
      <c r="G12" s="18" t="s">
        <v>71</v>
      </c>
      <c r="H12" s="20">
        <v>3</v>
      </c>
      <c r="I12" s="20">
        <v>2</v>
      </c>
      <c r="J12" s="18">
        <f t="shared" si="1"/>
        <v>1</v>
      </c>
      <c r="K12" s="21">
        <v>1800</v>
      </c>
      <c r="L12" s="22"/>
      <c r="M12" s="23">
        <f t="shared" si="2"/>
        <v>1800</v>
      </c>
      <c r="N12" s="21">
        <v>1800</v>
      </c>
      <c r="O12" s="54">
        <f t="shared" si="3"/>
        <v>0</v>
      </c>
      <c r="P12" s="18" t="str">
        <f t="shared" si="4"/>
        <v>مدفوع بالكامل</v>
      </c>
      <c r="Q12" s="18" t="str">
        <f t="shared" si="5"/>
        <v>تسليم جزئي</v>
      </c>
      <c r="R12" s="18" t="s">
        <v>155</v>
      </c>
    </row>
    <row r="13" spans="1:18" s="39" customFormat="1" ht="15" customHeight="1">
      <c r="A13" s="39" t="s">
        <v>126</v>
      </c>
      <c r="B13" s="40"/>
      <c r="C13" s="41">
        <f t="shared" ca="1" si="0"/>
        <v>0</v>
      </c>
      <c r="D13" s="40" t="s">
        <v>125</v>
      </c>
      <c r="E13" s="40">
        <v>1009986324</v>
      </c>
      <c r="F13" s="40" t="s">
        <v>63</v>
      </c>
      <c r="G13" s="40" t="s">
        <v>128</v>
      </c>
      <c r="H13" s="42">
        <v>2</v>
      </c>
      <c r="I13" s="42">
        <v>2</v>
      </c>
      <c r="J13" s="40">
        <f t="shared" si="1"/>
        <v>0</v>
      </c>
      <c r="K13" s="43">
        <v>1200</v>
      </c>
      <c r="L13" s="44"/>
      <c r="M13" s="45">
        <f t="shared" si="2"/>
        <v>1200</v>
      </c>
      <c r="N13" s="43">
        <v>1200</v>
      </c>
      <c r="O13" s="54">
        <f t="shared" si="3"/>
        <v>0</v>
      </c>
      <c r="P13" s="40" t="str">
        <f t="shared" si="4"/>
        <v>مدفوع بالكامل</v>
      </c>
      <c r="Q13" s="53" t="str">
        <f t="shared" si="5"/>
        <v>تم التسليم بالكامل</v>
      </c>
      <c r="R13" s="40"/>
    </row>
    <row r="14" spans="1:18" s="72" customFormat="1" ht="28">
      <c r="B14" s="66"/>
      <c r="C14" s="67">
        <f t="shared" ca="1" si="0"/>
        <v>0</v>
      </c>
      <c r="D14" s="66" t="s">
        <v>137</v>
      </c>
      <c r="E14" s="66">
        <v>1113440686</v>
      </c>
      <c r="F14" s="66" t="s">
        <v>63</v>
      </c>
      <c r="G14" s="66" t="s">
        <v>87</v>
      </c>
      <c r="H14" s="68">
        <v>3</v>
      </c>
      <c r="I14" s="68"/>
      <c r="J14" s="66">
        <f t="shared" si="1"/>
        <v>3</v>
      </c>
      <c r="K14" s="69">
        <v>1800</v>
      </c>
      <c r="L14" s="70"/>
      <c r="M14" s="71">
        <f t="shared" si="2"/>
        <v>1800</v>
      </c>
      <c r="N14" s="69">
        <v>900</v>
      </c>
      <c r="O14" s="71">
        <f t="shared" si="3"/>
        <v>900</v>
      </c>
      <c r="P14" s="66" t="str">
        <f t="shared" si="4"/>
        <v>دفع جزئي</v>
      </c>
      <c r="Q14" s="66" t="str">
        <f t="shared" si="5"/>
        <v>لم يبدأ التنفيذ</v>
      </c>
      <c r="R14" s="66"/>
    </row>
    <row r="15" spans="1:18" ht="28">
      <c r="B15" s="18"/>
      <c r="C15" s="19">
        <f t="shared" ca="1" si="0"/>
        <v>0</v>
      </c>
      <c r="D15" s="18" t="s">
        <v>130</v>
      </c>
      <c r="E15" s="18">
        <v>1157391901</v>
      </c>
      <c r="F15" s="18" t="s">
        <v>63</v>
      </c>
      <c r="G15" s="18" t="s">
        <v>75</v>
      </c>
      <c r="H15" s="20">
        <v>4</v>
      </c>
      <c r="I15" s="20">
        <v>2</v>
      </c>
      <c r="J15" s="18">
        <f t="shared" si="1"/>
        <v>2</v>
      </c>
      <c r="K15" s="21">
        <v>2400</v>
      </c>
      <c r="L15" s="22"/>
      <c r="M15" s="23">
        <f t="shared" si="2"/>
        <v>2400</v>
      </c>
      <c r="N15" s="21">
        <v>1800</v>
      </c>
      <c r="O15" s="23">
        <f t="shared" si="3"/>
        <v>600</v>
      </c>
      <c r="P15" s="18" t="str">
        <f t="shared" si="4"/>
        <v>دفع جزئي</v>
      </c>
      <c r="Q15" s="18" t="str">
        <f t="shared" si="5"/>
        <v>تسليم جزئي</v>
      </c>
      <c r="R15" s="18" t="s">
        <v>153</v>
      </c>
    </row>
    <row r="16" spans="1:18" s="39" customFormat="1">
      <c r="B16" s="40"/>
      <c r="C16" s="41">
        <f t="shared" ref="C16:C46" ca="1" si="6">IF(D16="",0,IF(C16=0,TODAY(),C16))</f>
        <v>0</v>
      </c>
      <c r="D16" s="40" t="s">
        <v>60</v>
      </c>
      <c r="E16" s="40">
        <v>1501519718</v>
      </c>
      <c r="F16" s="40" t="s">
        <v>63</v>
      </c>
      <c r="G16" s="40" t="s">
        <v>61</v>
      </c>
      <c r="H16" s="42">
        <v>2</v>
      </c>
      <c r="I16" s="42">
        <v>1</v>
      </c>
      <c r="J16" s="40">
        <f t="shared" ref="J16:J46" si="7">IF(H16="","",H16-I16)</f>
        <v>1</v>
      </c>
      <c r="K16" s="43">
        <v>1200</v>
      </c>
      <c r="L16" s="44"/>
      <c r="M16" s="45">
        <f t="shared" ref="M16:M46" si="8">IF(K16="","",K16*(1-L16))</f>
        <v>1200</v>
      </c>
      <c r="N16" s="43">
        <v>1200</v>
      </c>
      <c r="O16" s="54">
        <f t="shared" ref="O16:O46" si="9">IF(M16="","",M16-N16)</f>
        <v>0</v>
      </c>
      <c r="P16" s="40" t="str">
        <f t="shared" ref="P16:P46" si="10">IF(K16="","",IF(O16&lt;=0,"مدفوع بالكامل",IF(N16=0,"لم يدفع","دفع جزئي")))</f>
        <v>مدفوع بالكامل</v>
      </c>
      <c r="Q16" s="40" t="str">
        <f t="shared" ref="Q16:Q46" si="11">IF(H16="","",IF(J16&lt;=0,"تم التسليم بالكامل",IF(I16=0,"لم يبدأ التنفيذ","تسليم جزئي")))</f>
        <v>تسليم جزئي</v>
      </c>
      <c r="R16" s="40"/>
    </row>
    <row r="17" spans="2:18" s="39" customFormat="1">
      <c r="B17" s="40"/>
      <c r="C17" s="41">
        <f ca="1">IF(D17="",0,IF(C17=0,TODAY(),C17))</f>
        <v>0</v>
      </c>
      <c r="D17" s="40" t="s">
        <v>62</v>
      </c>
      <c r="E17" s="40">
        <v>1013414152</v>
      </c>
      <c r="F17" s="40" t="s">
        <v>63</v>
      </c>
      <c r="G17" s="40" t="s">
        <v>61</v>
      </c>
      <c r="H17" s="42">
        <v>2</v>
      </c>
      <c r="I17" s="42">
        <v>1</v>
      </c>
      <c r="J17" s="40">
        <f t="shared" si="7"/>
        <v>1</v>
      </c>
      <c r="K17" s="43">
        <v>1200</v>
      </c>
      <c r="L17" s="44"/>
      <c r="M17" s="45">
        <f t="shared" si="8"/>
        <v>1200</v>
      </c>
      <c r="N17" s="43">
        <v>1200</v>
      </c>
      <c r="O17" s="54">
        <f t="shared" si="9"/>
        <v>0</v>
      </c>
      <c r="P17" s="40" t="str">
        <f t="shared" si="10"/>
        <v>مدفوع بالكامل</v>
      </c>
      <c r="Q17" s="40" t="str">
        <f t="shared" si="11"/>
        <v>تسليم جزئي</v>
      </c>
      <c r="R17" s="40"/>
    </row>
    <row r="18" spans="2:18" ht="28">
      <c r="B18" s="18"/>
      <c r="C18" s="19">
        <f t="shared" ca="1" si="6"/>
        <v>0</v>
      </c>
      <c r="D18" s="18" t="s">
        <v>64</v>
      </c>
      <c r="E18">
        <v>1016610456</v>
      </c>
      <c r="F18" s="18" t="s">
        <v>63</v>
      </c>
      <c r="G18" s="18" t="s">
        <v>67</v>
      </c>
      <c r="H18" s="20">
        <v>3</v>
      </c>
      <c r="I18" s="20">
        <v>2</v>
      </c>
      <c r="J18" s="18">
        <f t="shared" si="7"/>
        <v>1</v>
      </c>
      <c r="K18" s="21">
        <v>2250</v>
      </c>
      <c r="L18" s="22"/>
      <c r="M18" s="23">
        <f t="shared" si="8"/>
        <v>2250</v>
      </c>
      <c r="N18" s="21">
        <v>1800</v>
      </c>
      <c r="O18" s="23">
        <f t="shared" si="9"/>
        <v>450</v>
      </c>
      <c r="P18" s="18" t="str">
        <f t="shared" si="10"/>
        <v>دفع جزئي</v>
      </c>
      <c r="Q18" s="18" t="str">
        <f t="shared" si="11"/>
        <v>تسليم جزئي</v>
      </c>
      <c r="R18" s="30" t="s">
        <v>95</v>
      </c>
    </row>
    <row r="19" spans="2:18" ht="28">
      <c r="B19" s="18"/>
      <c r="C19" s="19">
        <f t="shared" ca="1" si="6"/>
        <v>0</v>
      </c>
      <c r="D19" s="18" t="s">
        <v>68</v>
      </c>
      <c r="E19" s="18">
        <v>1282568330</v>
      </c>
      <c r="F19" s="18" t="s">
        <v>63</v>
      </c>
      <c r="G19" s="18" t="s">
        <v>69</v>
      </c>
      <c r="H19" s="20">
        <v>5</v>
      </c>
      <c r="I19" s="20">
        <v>2</v>
      </c>
      <c r="J19" s="18">
        <f t="shared" si="7"/>
        <v>3</v>
      </c>
      <c r="K19" s="21">
        <v>4200</v>
      </c>
      <c r="L19" s="22"/>
      <c r="M19" s="23">
        <f t="shared" si="8"/>
        <v>4200</v>
      </c>
      <c r="N19" s="21">
        <v>2400</v>
      </c>
      <c r="O19" s="23">
        <f t="shared" si="9"/>
        <v>1800</v>
      </c>
      <c r="P19" s="18" t="str">
        <f t="shared" si="10"/>
        <v>دفع جزئي</v>
      </c>
      <c r="Q19" s="18" t="str">
        <f t="shared" si="11"/>
        <v>تسليم جزئي</v>
      </c>
      <c r="R19" s="18" t="s">
        <v>153</v>
      </c>
    </row>
    <row r="20" spans="2:18">
      <c r="B20" s="18"/>
      <c r="C20" s="19">
        <f t="shared" ca="1" si="6"/>
        <v>0</v>
      </c>
      <c r="D20" s="18" t="s">
        <v>70</v>
      </c>
      <c r="E20" s="18">
        <v>1001257825</v>
      </c>
      <c r="F20" s="18" t="s">
        <v>63</v>
      </c>
      <c r="G20" s="18" t="s">
        <v>71</v>
      </c>
      <c r="H20" s="20">
        <v>3</v>
      </c>
      <c r="I20" s="20">
        <v>2</v>
      </c>
      <c r="J20" s="18">
        <f t="shared" si="7"/>
        <v>1</v>
      </c>
      <c r="K20" s="21">
        <v>1800</v>
      </c>
      <c r="L20" s="22"/>
      <c r="M20" s="23">
        <f t="shared" si="8"/>
        <v>1800</v>
      </c>
      <c r="N20" s="21">
        <v>1500</v>
      </c>
      <c r="O20" s="23">
        <f t="shared" si="9"/>
        <v>300</v>
      </c>
      <c r="P20" s="18" t="str">
        <f t="shared" si="10"/>
        <v>دفع جزئي</v>
      </c>
      <c r="Q20" s="18" t="str">
        <f t="shared" si="11"/>
        <v>تسليم جزئي</v>
      </c>
      <c r="R20" s="18" t="s">
        <v>155</v>
      </c>
    </row>
    <row r="21" spans="2:18">
      <c r="B21" s="18"/>
      <c r="C21" s="19">
        <f t="shared" ca="1" si="6"/>
        <v>0</v>
      </c>
      <c r="D21" s="18" t="s">
        <v>72</v>
      </c>
      <c r="E21" s="18">
        <v>1005372274</v>
      </c>
      <c r="F21" s="18" t="s">
        <v>63</v>
      </c>
      <c r="G21" s="18" t="s">
        <v>73</v>
      </c>
      <c r="H21" s="20">
        <v>2</v>
      </c>
      <c r="I21" s="20"/>
      <c r="J21" s="18">
        <f t="shared" si="7"/>
        <v>2</v>
      </c>
      <c r="K21" s="21">
        <v>1200</v>
      </c>
      <c r="L21" s="22"/>
      <c r="M21" s="23">
        <f t="shared" si="8"/>
        <v>1200</v>
      </c>
      <c r="N21" s="21">
        <v>600</v>
      </c>
      <c r="O21" s="23">
        <f t="shared" si="9"/>
        <v>600</v>
      </c>
      <c r="P21" s="18" t="str">
        <f t="shared" si="10"/>
        <v>دفع جزئي</v>
      </c>
      <c r="Q21" s="29" t="str">
        <f t="shared" si="11"/>
        <v>لم يبدأ التنفيذ</v>
      </c>
      <c r="R21" s="18" t="s">
        <v>155</v>
      </c>
    </row>
    <row r="22" spans="2:18" ht="28">
      <c r="B22" s="18"/>
      <c r="C22" s="19">
        <f t="shared" ca="1" si="6"/>
        <v>0</v>
      </c>
      <c r="D22" s="28" t="s">
        <v>74</v>
      </c>
      <c r="E22" s="18">
        <v>1008901896</v>
      </c>
      <c r="F22" s="18" t="s">
        <v>63</v>
      </c>
      <c r="G22" s="28" t="s">
        <v>75</v>
      </c>
      <c r="H22" s="20">
        <v>4</v>
      </c>
      <c r="I22" s="20">
        <v>2</v>
      </c>
      <c r="J22" s="18">
        <f t="shared" si="7"/>
        <v>2</v>
      </c>
      <c r="K22" s="21">
        <v>2400</v>
      </c>
      <c r="L22" s="22"/>
      <c r="M22" s="23">
        <f t="shared" si="8"/>
        <v>2400</v>
      </c>
      <c r="N22" s="21">
        <v>2000</v>
      </c>
      <c r="O22" s="23">
        <f t="shared" si="9"/>
        <v>400</v>
      </c>
      <c r="P22" s="18" t="str">
        <f t="shared" si="10"/>
        <v>دفع جزئي</v>
      </c>
      <c r="Q22" s="18" t="str">
        <f t="shared" si="11"/>
        <v>تسليم جزئي</v>
      </c>
      <c r="R22" s="18"/>
    </row>
    <row r="23" spans="2:18">
      <c r="B23" s="18"/>
      <c r="C23" s="19">
        <f t="shared" ca="1" si="6"/>
        <v>0</v>
      </c>
      <c r="D23" s="28" t="s">
        <v>76</v>
      </c>
      <c r="E23" s="18">
        <v>1090488380</v>
      </c>
      <c r="F23" s="18" t="s">
        <v>63</v>
      </c>
      <c r="G23" s="28" t="s">
        <v>71</v>
      </c>
      <c r="H23" s="20">
        <v>3</v>
      </c>
      <c r="I23" s="20">
        <v>2</v>
      </c>
      <c r="J23" s="18">
        <f t="shared" si="7"/>
        <v>1</v>
      </c>
      <c r="K23" s="21">
        <v>1800</v>
      </c>
      <c r="L23" s="22"/>
      <c r="M23" s="23">
        <f t="shared" si="8"/>
        <v>1800</v>
      </c>
      <c r="N23" s="21">
        <v>1500</v>
      </c>
      <c r="O23" s="23">
        <f t="shared" si="9"/>
        <v>300</v>
      </c>
      <c r="P23" s="18" t="str">
        <f t="shared" si="10"/>
        <v>دفع جزئي</v>
      </c>
      <c r="Q23" s="18" t="str">
        <f t="shared" si="11"/>
        <v>تسليم جزئي</v>
      </c>
      <c r="R23" s="18"/>
    </row>
    <row r="24" spans="2:18" s="63" customFormat="1" ht="28">
      <c r="B24" s="56"/>
      <c r="C24" s="57">
        <f t="shared" ca="1" si="6"/>
        <v>0</v>
      </c>
      <c r="D24" s="56" t="s">
        <v>77</v>
      </c>
      <c r="E24" s="56">
        <v>1026019730</v>
      </c>
      <c r="F24" s="56" t="s">
        <v>63</v>
      </c>
      <c r="G24" s="56" t="s">
        <v>78</v>
      </c>
      <c r="H24" s="59">
        <v>3</v>
      </c>
      <c r="I24" s="59">
        <v>2</v>
      </c>
      <c r="J24" s="56">
        <f t="shared" si="7"/>
        <v>1</v>
      </c>
      <c r="K24" s="60">
        <v>1950</v>
      </c>
      <c r="L24" s="61"/>
      <c r="M24" s="62">
        <f t="shared" si="8"/>
        <v>1950</v>
      </c>
      <c r="N24" s="60">
        <v>1650</v>
      </c>
      <c r="O24" s="62">
        <f t="shared" si="9"/>
        <v>300</v>
      </c>
      <c r="P24" s="56" t="str">
        <f t="shared" si="10"/>
        <v>دفع جزئي</v>
      </c>
      <c r="Q24" s="56" t="str">
        <f t="shared" si="11"/>
        <v>تسليم جزئي</v>
      </c>
      <c r="R24" s="64" t="s">
        <v>91</v>
      </c>
    </row>
    <row r="25" spans="2:18" s="39" customFormat="1">
      <c r="B25" s="40"/>
      <c r="C25" s="41">
        <f t="shared" ca="1" si="6"/>
        <v>0</v>
      </c>
      <c r="D25" s="40" t="s">
        <v>79</v>
      </c>
      <c r="E25" s="40">
        <v>1091891817</v>
      </c>
      <c r="F25" s="40" t="s">
        <v>63</v>
      </c>
      <c r="G25" s="40" t="s">
        <v>80</v>
      </c>
      <c r="H25" s="42">
        <v>1</v>
      </c>
      <c r="I25" s="42">
        <v>1</v>
      </c>
      <c r="J25" s="40">
        <f t="shared" si="7"/>
        <v>0</v>
      </c>
      <c r="K25" s="43">
        <v>750</v>
      </c>
      <c r="L25" s="44"/>
      <c r="M25" s="45">
        <f t="shared" si="8"/>
        <v>750</v>
      </c>
      <c r="N25" s="43">
        <v>750</v>
      </c>
      <c r="O25" s="54">
        <f t="shared" si="9"/>
        <v>0</v>
      </c>
      <c r="P25" s="40" t="str">
        <f t="shared" si="10"/>
        <v>مدفوع بالكامل</v>
      </c>
      <c r="Q25" s="40" t="str">
        <f t="shared" si="11"/>
        <v>تم التسليم بالكامل</v>
      </c>
      <c r="R25" s="40"/>
    </row>
    <row r="26" spans="2:18" s="39" customFormat="1">
      <c r="B26" s="40"/>
      <c r="C26" s="41">
        <f t="shared" ca="1" si="6"/>
        <v>0</v>
      </c>
      <c r="D26" s="40" t="s">
        <v>81</v>
      </c>
      <c r="E26" s="40">
        <v>1010050042</v>
      </c>
      <c r="F26" s="40" t="s">
        <v>63</v>
      </c>
      <c r="G26" s="40" t="s">
        <v>80</v>
      </c>
      <c r="H26" s="42">
        <v>1</v>
      </c>
      <c r="I26" s="42">
        <v>1</v>
      </c>
      <c r="J26" s="40">
        <f t="shared" si="7"/>
        <v>0</v>
      </c>
      <c r="K26" s="43">
        <v>750</v>
      </c>
      <c r="L26" s="44"/>
      <c r="M26" s="45">
        <f t="shared" si="8"/>
        <v>750</v>
      </c>
      <c r="N26" s="43">
        <v>750</v>
      </c>
      <c r="O26" s="54">
        <f t="shared" si="9"/>
        <v>0</v>
      </c>
      <c r="P26" s="40" t="str">
        <f t="shared" si="10"/>
        <v>مدفوع بالكامل</v>
      </c>
      <c r="Q26" s="40" t="str">
        <f t="shared" si="11"/>
        <v>تم التسليم بالكامل</v>
      </c>
      <c r="R26" s="40"/>
    </row>
    <row r="27" spans="2:18">
      <c r="B27" s="18"/>
      <c r="C27" s="19">
        <f t="shared" ca="1" si="6"/>
        <v>0</v>
      </c>
      <c r="D27" s="18" t="s">
        <v>82</v>
      </c>
      <c r="E27" s="18">
        <v>1124283725</v>
      </c>
      <c r="F27" s="18" t="s">
        <v>63</v>
      </c>
      <c r="G27" s="18" t="s">
        <v>71</v>
      </c>
      <c r="H27" s="20">
        <v>3</v>
      </c>
      <c r="I27" s="20">
        <v>2</v>
      </c>
      <c r="J27" s="18">
        <f t="shared" si="7"/>
        <v>1</v>
      </c>
      <c r="K27" s="21">
        <v>1800</v>
      </c>
      <c r="L27" s="22"/>
      <c r="M27" s="23">
        <f t="shared" si="8"/>
        <v>1800</v>
      </c>
      <c r="N27" s="21">
        <v>1500</v>
      </c>
      <c r="O27" s="23">
        <f t="shared" si="9"/>
        <v>300</v>
      </c>
      <c r="P27" s="18" t="str">
        <f t="shared" si="10"/>
        <v>دفع جزئي</v>
      </c>
      <c r="Q27" s="18" t="str">
        <f t="shared" si="11"/>
        <v>تسليم جزئي</v>
      </c>
      <c r="R27" s="18"/>
    </row>
    <row r="28" spans="2:18" s="72" customFormat="1">
      <c r="B28" s="66"/>
      <c r="C28" s="67">
        <f t="shared" ca="1" si="6"/>
        <v>0</v>
      </c>
      <c r="D28" s="66" t="s">
        <v>83</v>
      </c>
      <c r="E28" s="66">
        <v>1277986842</v>
      </c>
      <c r="F28" s="66" t="s">
        <v>63</v>
      </c>
      <c r="G28" s="66" t="s">
        <v>84</v>
      </c>
      <c r="H28" s="68">
        <v>2</v>
      </c>
      <c r="I28" s="68"/>
      <c r="J28" s="66">
        <f t="shared" si="7"/>
        <v>2</v>
      </c>
      <c r="K28" s="69">
        <v>1500</v>
      </c>
      <c r="L28" s="70"/>
      <c r="M28" s="71">
        <f t="shared" si="8"/>
        <v>1500</v>
      </c>
      <c r="N28" s="69">
        <v>750</v>
      </c>
      <c r="O28" s="71">
        <f t="shared" si="9"/>
        <v>750</v>
      </c>
      <c r="P28" s="66" t="str">
        <f t="shared" si="10"/>
        <v>دفع جزئي</v>
      </c>
      <c r="Q28" s="73" t="str">
        <f t="shared" si="11"/>
        <v>لم يبدأ التنفيذ</v>
      </c>
      <c r="R28" s="66"/>
    </row>
    <row r="29" spans="2:18">
      <c r="B29" s="18"/>
      <c r="C29" s="19">
        <f t="shared" ca="1" si="6"/>
        <v>0</v>
      </c>
      <c r="D29" s="28" t="s">
        <v>85</v>
      </c>
      <c r="E29" s="18">
        <v>1555820112</v>
      </c>
      <c r="F29" s="18" t="s">
        <v>63</v>
      </c>
      <c r="G29" s="28" t="s">
        <v>71</v>
      </c>
      <c r="H29" s="20">
        <v>3</v>
      </c>
      <c r="I29" s="20">
        <v>2</v>
      </c>
      <c r="J29" s="18">
        <f t="shared" si="7"/>
        <v>1</v>
      </c>
      <c r="K29" s="21">
        <v>1950</v>
      </c>
      <c r="L29" s="22"/>
      <c r="M29" s="23">
        <f t="shared" si="8"/>
        <v>1950</v>
      </c>
      <c r="N29" s="21">
        <v>1650</v>
      </c>
      <c r="O29" s="23">
        <f t="shared" si="9"/>
        <v>300</v>
      </c>
      <c r="P29" s="18" t="str">
        <f t="shared" si="10"/>
        <v>دفع جزئي</v>
      </c>
      <c r="Q29" s="18" t="str">
        <f t="shared" si="11"/>
        <v>تسليم جزئي</v>
      </c>
      <c r="R29" s="18"/>
    </row>
    <row r="30" spans="2:18" s="72" customFormat="1" ht="28">
      <c r="B30" s="66"/>
      <c r="C30" s="67">
        <f t="shared" ca="1" si="6"/>
        <v>0</v>
      </c>
      <c r="D30" s="65" t="s">
        <v>86</v>
      </c>
      <c r="E30" s="65">
        <v>1145557336</v>
      </c>
      <c r="F30" s="66" t="s">
        <v>63</v>
      </c>
      <c r="G30" s="65" t="s">
        <v>87</v>
      </c>
      <c r="H30" s="68">
        <v>3</v>
      </c>
      <c r="I30" s="68"/>
      <c r="J30" s="66">
        <f t="shared" si="7"/>
        <v>3</v>
      </c>
      <c r="K30" s="69">
        <v>1800</v>
      </c>
      <c r="L30" s="70"/>
      <c r="M30" s="71">
        <f t="shared" si="8"/>
        <v>1800</v>
      </c>
      <c r="N30" s="69">
        <v>900</v>
      </c>
      <c r="O30" s="71">
        <f t="shared" si="9"/>
        <v>900</v>
      </c>
      <c r="P30" s="66" t="str">
        <f t="shared" si="10"/>
        <v>دفع جزئي</v>
      </c>
      <c r="Q30" s="73" t="str">
        <f t="shared" si="11"/>
        <v>لم يبدأ التنفيذ</v>
      </c>
      <c r="R30" s="66"/>
    </row>
    <row r="31" spans="2:18" s="72" customFormat="1" ht="28">
      <c r="B31" s="66"/>
      <c r="C31" s="67">
        <f t="shared" ca="1" si="6"/>
        <v>0</v>
      </c>
      <c r="D31" s="65" t="s">
        <v>88</v>
      </c>
      <c r="E31" s="66">
        <v>1000897389</v>
      </c>
      <c r="F31" s="66" t="s">
        <v>63</v>
      </c>
      <c r="G31" s="65" t="s">
        <v>87</v>
      </c>
      <c r="H31" s="68">
        <v>3</v>
      </c>
      <c r="I31" s="68"/>
      <c r="J31" s="66">
        <f t="shared" si="7"/>
        <v>3</v>
      </c>
      <c r="K31" s="69">
        <v>1800</v>
      </c>
      <c r="L31" s="70"/>
      <c r="M31" s="71">
        <f t="shared" si="8"/>
        <v>1800</v>
      </c>
      <c r="N31" s="69">
        <v>900</v>
      </c>
      <c r="O31" s="71">
        <f t="shared" si="9"/>
        <v>900</v>
      </c>
      <c r="P31" s="66" t="str">
        <f t="shared" si="10"/>
        <v>دفع جزئي</v>
      </c>
      <c r="Q31" s="73" t="str">
        <f t="shared" si="11"/>
        <v>لم يبدأ التنفيذ</v>
      </c>
      <c r="R31" s="66"/>
    </row>
    <row r="32" spans="2:18" ht="28">
      <c r="B32" s="18"/>
      <c r="C32" s="19">
        <f t="shared" ca="1" si="6"/>
        <v>0</v>
      </c>
      <c r="D32" s="28" t="s">
        <v>89</v>
      </c>
      <c r="E32" s="18">
        <v>1004984605</v>
      </c>
      <c r="F32" s="18" t="s">
        <v>63</v>
      </c>
      <c r="G32" s="28" t="s">
        <v>90</v>
      </c>
      <c r="H32" s="20">
        <v>3</v>
      </c>
      <c r="I32" s="20">
        <v>2</v>
      </c>
      <c r="J32" s="18">
        <f t="shared" si="7"/>
        <v>1</v>
      </c>
      <c r="K32" s="21">
        <v>1800</v>
      </c>
      <c r="L32" s="22"/>
      <c r="M32" s="23">
        <f t="shared" si="8"/>
        <v>1800</v>
      </c>
      <c r="N32" s="21">
        <v>1500</v>
      </c>
      <c r="O32" s="23">
        <f t="shared" si="9"/>
        <v>300</v>
      </c>
      <c r="P32" s="18" t="str">
        <f t="shared" si="10"/>
        <v>دفع جزئي</v>
      </c>
      <c r="Q32" s="18" t="str">
        <f t="shared" si="11"/>
        <v>تسليم جزئي</v>
      </c>
      <c r="R32" s="18"/>
    </row>
    <row r="33" spans="2:18">
      <c r="B33" s="18"/>
      <c r="C33" s="19">
        <f t="shared" ca="1" si="6"/>
        <v>0</v>
      </c>
      <c r="D33" s="28" t="s">
        <v>92</v>
      </c>
      <c r="E33" s="18">
        <v>1023376696</v>
      </c>
      <c r="F33" s="18" t="s">
        <v>63</v>
      </c>
      <c r="G33" s="28" t="s">
        <v>93</v>
      </c>
      <c r="H33" s="20">
        <v>2</v>
      </c>
      <c r="I33" s="20"/>
      <c r="J33" s="18">
        <f t="shared" si="7"/>
        <v>2</v>
      </c>
      <c r="K33" s="21">
        <v>1800</v>
      </c>
      <c r="L33" s="22"/>
      <c r="M33" s="23">
        <f t="shared" si="8"/>
        <v>1800</v>
      </c>
      <c r="N33" s="21">
        <v>1100</v>
      </c>
      <c r="O33" s="23">
        <f t="shared" si="9"/>
        <v>700</v>
      </c>
      <c r="P33" s="18" t="str">
        <f t="shared" si="10"/>
        <v>دفع جزئي</v>
      </c>
      <c r="Q33" s="29" t="str">
        <f t="shared" si="11"/>
        <v>لم يبدأ التنفيذ</v>
      </c>
      <c r="R33" s="18"/>
    </row>
    <row r="34" spans="2:18" s="63" customFormat="1" ht="28">
      <c r="B34" s="56"/>
      <c r="C34" s="57">
        <f t="shared" ca="1" si="6"/>
        <v>0</v>
      </c>
      <c r="D34" s="58" t="s">
        <v>94</v>
      </c>
      <c r="E34" s="56">
        <v>1273040764</v>
      </c>
      <c r="F34" s="56" t="s">
        <v>63</v>
      </c>
      <c r="G34" s="58" t="s">
        <v>75</v>
      </c>
      <c r="H34" s="59">
        <v>4</v>
      </c>
      <c r="I34" s="59">
        <v>1</v>
      </c>
      <c r="J34" s="56">
        <f t="shared" si="7"/>
        <v>3</v>
      </c>
      <c r="K34" s="60">
        <v>2400</v>
      </c>
      <c r="L34" s="61"/>
      <c r="M34" s="62">
        <f t="shared" si="8"/>
        <v>2400</v>
      </c>
      <c r="N34" s="60">
        <v>1200</v>
      </c>
      <c r="O34" s="62">
        <f t="shared" si="9"/>
        <v>1200</v>
      </c>
      <c r="P34" s="56" t="str">
        <f t="shared" si="10"/>
        <v>دفع جزئي</v>
      </c>
      <c r="Q34" s="56" t="str">
        <f t="shared" si="11"/>
        <v>تسليم جزئي</v>
      </c>
      <c r="R34" s="56" t="s">
        <v>144</v>
      </c>
    </row>
    <row r="35" spans="2:18">
      <c r="B35" s="18"/>
      <c r="C35" s="19">
        <f t="shared" ca="1" si="6"/>
        <v>0</v>
      </c>
      <c r="D35" s="28" t="s">
        <v>96</v>
      </c>
      <c r="E35" s="18">
        <v>1552155051</v>
      </c>
      <c r="F35" s="18" t="s">
        <v>63</v>
      </c>
      <c r="G35" s="28" t="s">
        <v>73</v>
      </c>
      <c r="H35" s="20">
        <v>2</v>
      </c>
      <c r="I35" s="20"/>
      <c r="J35" s="18">
        <f t="shared" si="7"/>
        <v>2</v>
      </c>
      <c r="K35" s="21">
        <v>1200</v>
      </c>
      <c r="L35" s="22"/>
      <c r="M35" s="23">
        <f t="shared" si="8"/>
        <v>1200</v>
      </c>
      <c r="N35" s="21">
        <v>600</v>
      </c>
      <c r="O35" s="23">
        <f t="shared" si="9"/>
        <v>600</v>
      </c>
      <c r="P35" s="18" t="str">
        <f t="shared" si="10"/>
        <v>دفع جزئي</v>
      </c>
      <c r="Q35" s="31" t="str">
        <f t="shared" si="11"/>
        <v>لم يبدأ التنفيذ</v>
      </c>
      <c r="R35" s="18"/>
    </row>
    <row r="36" spans="2:18">
      <c r="B36" s="18"/>
      <c r="C36" s="19">
        <f t="shared" ca="1" si="6"/>
        <v>0</v>
      </c>
      <c r="D36" s="28" t="s">
        <v>97</v>
      </c>
      <c r="E36" s="18">
        <v>1119187715</v>
      </c>
      <c r="F36" s="18" t="s">
        <v>63</v>
      </c>
      <c r="G36" s="28" t="s">
        <v>98</v>
      </c>
      <c r="H36" s="20">
        <v>3</v>
      </c>
      <c r="I36" s="20">
        <v>2</v>
      </c>
      <c r="J36" s="18">
        <f t="shared" si="7"/>
        <v>1</v>
      </c>
      <c r="K36" s="21">
        <v>1800</v>
      </c>
      <c r="L36" s="22">
        <v>0.17</v>
      </c>
      <c r="M36" s="23">
        <f t="shared" si="8"/>
        <v>1494</v>
      </c>
      <c r="N36" s="21">
        <v>1500</v>
      </c>
      <c r="O36" s="54">
        <f t="shared" si="9"/>
        <v>-6</v>
      </c>
      <c r="P36" s="18" t="str">
        <f t="shared" si="10"/>
        <v>مدفوع بالكامل</v>
      </c>
      <c r="Q36" s="18" t="str">
        <f t="shared" si="11"/>
        <v>تسليم جزئي</v>
      </c>
      <c r="R36" s="18"/>
    </row>
    <row r="37" spans="2:18" ht="28">
      <c r="B37" s="18"/>
      <c r="C37" s="19">
        <f t="shared" ca="1" si="6"/>
        <v>0</v>
      </c>
      <c r="D37" s="18" t="s">
        <v>99</v>
      </c>
      <c r="E37" s="18">
        <v>1220598361</v>
      </c>
      <c r="F37" s="18" t="s">
        <v>63</v>
      </c>
      <c r="G37" s="18" t="s">
        <v>100</v>
      </c>
      <c r="H37" s="20">
        <v>5</v>
      </c>
      <c r="I37" s="20">
        <v>2</v>
      </c>
      <c r="J37" s="18">
        <f t="shared" si="7"/>
        <v>3</v>
      </c>
      <c r="K37" s="21">
        <v>3000</v>
      </c>
      <c r="L37" s="22"/>
      <c r="M37" s="23">
        <f t="shared" si="8"/>
        <v>3000</v>
      </c>
      <c r="N37" s="21">
        <v>1500</v>
      </c>
      <c r="O37" s="23">
        <f t="shared" si="9"/>
        <v>1500</v>
      </c>
      <c r="P37" s="18" t="str">
        <f t="shared" si="10"/>
        <v>دفع جزئي</v>
      </c>
      <c r="Q37" s="18" t="str">
        <f t="shared" si="11"/>
        <v>تسليم جزئي</v>
      </c>
      <c r="R37" s="18"/>
    </row>
    <row r="38" spans="2:18" ht="28">
      <c r="B38" s="18"/>
      <c r="C38" s="19">
        <f t="shared" ca="1" si="6"/>
        <v>0</v>
      </c>
      <c r="D38" s="18" t="s">
        <v>101</v>
      </c>
      <c r="E38" s="18">
        <v>1010906262</v>
      </c>
      <c r="F38" s="18" t="s">
        <v>63</v>
      </c>
      <c r="G38" s="18" t="s">
        <v>75</v>
      </c>
      <c r="H38" s="20">
        <v>4</v>
      </c>
      <c r="I38" s="20">
        <v>2</v>
      </c>
      <c r="J38" s="18">
        <f t="shared" si="7"/>
        <v>2</v>
      </c>
      <c r="K38" s="21">
        <v>2400</v>
      </c>
      <c r="L38" s="22"/>
      <c r="M38" s="23">
        <f t="shared" si="8"/>
        <v>2400</v>
      </c>
      <c r="N38" s="21">
        <v>1200</v>
      </c>
      <c r="O38" s="23">
        <f t="shared" si="9"/>
        <v>1200</v>
      </c>
      <c r="P38" s="18" t="str">
        <f t="shared" si="10"/>
        <v>دفع جزئي</v>
      </c>
      <c r="Q38" s="18" t="str">
        <f t="shared" si="11"/>
        <v>تسليم جزئي</v>
      </c>
      <c r="R38" s="18"/>
    </row>
    <row r="39" spans="2:18">
      <c r="B39" s="18"/>
      <c r="C39" s="19">
        <f t="shared" ca="1" si="6"/>
        <v>0</v>
      </c>
      <c r="D39" s="18" t="s">
        <v>102</v>
      </c>
      <c r="E39" s="18">
        <v>1016094888</v>
      </c>
      <c r="F39" s="18" t="s">
        <v>63</v>
      </c>
      <c r="G39" s="18" t="s">
        <v>110</v>
      </c>
      <c r="H39" s="20">
        <v>2</v>
      </c>
      <c r="I39" s="20"/>
      <c r="J39" s="18">
        <f t="shared" si="7"/>
        <v>2</v>
      </c>
      <c r="K39" s="21">
        <v>1200</v>
      </c>
      <c r="L39" s="22"/>
      <c r="M39" s="23">
        <f t="shared" si="8"/>
        <v>1200</v>
      </c>
      <c r="N39" s="21">
        <v>600</v>
      </c>
      <c r="O39" s="23">
        <f t="shared" si="9"/>
        <v>600</v>
      </c>
      <c r="P39" s="18" t="str">
        <f t="shared" si="10"/>
        <v>دفع جزئي</v>
      </c>
      <c r="Q39" s="18" t="str">
        <f t="shared" si="11"/>
        <v>لم يبدأ التنفيذ</v>
      </c>
      <c r="R39" s="18"/>
    </row>
    <row r="40" spans="2:18">
      <c r="B40" s="18"/>
      <c r="C40" s="19">
        <f t="shared" ca="1" si="6"/>
        <v>0</v>
      </c>
      <c r="D40" s="18" t="s">
        <v>103</v>
      </c>
      <c r="E40" s="18">
        <v>1080467021</v>
      </c>
      <c r="F40" s="18" t="s">
        <v>63</v>
      </c>
      <c r="G40" s="18" t="s">
        <v>73</v>
      </c>
      <c r="H40" s="20">
        <v>2</v>
      </c>
      <c r="I40" s="20"/>
      <c r="J40" s="18">
        <f t="shared" si="7"/>
        <v>2</v>
      </c>
      <c r="K40" s="21"/>
      <c r="L40" s="22"/>
      <c r="M40" s="23" t="str">
        <f t="shared" si="8"/>
        <v/>
      </c>
      <c r="N40" s="21"/>
      <c r="O40" s="23" t="str">
        <f t="shared" si="9"/>
        <v/>
      </c>
      <c r="P40" s="18" t="str">
        <f t="shared" si="10"/>
        <v/>
      </c>
      <c r="Q40" s="18" t="str">
        <f t="shared" si="11"/>
        <v>لم يبدأ التنفيذ</v>
      </c>
      <c r="R40" s="18"/>
    </row>
    <row r="41" spans="2:18">
      <c r="B41" s="18"/>
      <c r="C41" s="19">
        <f t="shared" ca="1" si="6"/>
        <v>0</v>
      </c>
      <c r="D41" s="18" t="s">
        <v>104</v>
      </c>
      <c r="E41" s="18">
        <v>201060561257</v>
      </c>
      <c r="F41" s="18" t="s">
        <v>63</v>
      </c>
      <c r="G41" s="18" t="s">
        <v>71</v>
      </c>
      <c r="H41" s="20">
        <v>3</v>
      </c>
      <c r="I41" s="20">
        <v>1</v>
      </c>
      <c r="J41" s="18">
        <f t="shared" si="7"/>
        <v>2</v>
      </c>
      <c r="K41" s="21">
        <v>1800</v>
      </c>
      <c r="L41" s="22"/>
      <c r="M41" s="23">
        <f t="shared" si="8"/>
        <v>1800</v>
      </c>
      <c r="N41" s="74">
        <v>1200</v>
      </c>
      <c r="O41" s="23">
        <f t="shared" si="9"/>
        <v>600</v>
      </c>
      <c r="P41" s="18" t="str">
        <f t="shared" si="10"/>
        <v>دفع جزئي</v>
      </c>
      <c r="Q41" s="18" t="str">
        <f t="shared" si="11"/>
        <v>تسليم جزئي</v>
      </c>
      <c r="R41" s="18"/>
    </row>
    <row r="42" spans="2:18" s="52" customFormat="1">
      <c r="B42" s="18"/>
      <c r="C42" s="46">
        <f t="shared" ca="1" si="6"/>
        <v>0</v>
      </c>
      <c r="D42" s="47" t="s">
        <v>105</v>
      </c>
      <c r="E42" s="47"/>
      <c r="F42" s="47" t="s">
        <v>63</v>
      </c>
      <c r="G42" s="47"/>
      <c r="H42" s="48"/>
      <c r="I42" s="48"/>
      <c r="J42" s="47" t="str">
        <f t="shared" si="7"/>
        <v/>
      </c>
      <c r="K42" s="49"/>
      <c r="L42" s="50"/>
      <c r="M42" s="51" t="str">
        <f t="shared" si="8"/>
        <v/>
      </c>
      <c r="N42" s="49"/>
      <c r="O42" s="51" t="str">
        <f t="shared" si="9"/>
        <v/>
      </c>
      <c r="P42" s="47" t="str">
        <f t="shared" si="10"/>
        <v/>
      </c>
      <c r="Q42" s="47" t="str">
        <f t="shared" si="11"/>
        <v/>
      </c>
      <c r="R42" s="47" t="s">
        <v>139</v>
      </c>
    </row>
    <row r="43" spans="2:18">
      <c r="B43" s="18"/>
      <c r="C43" s="19">
        <f t="shared" ca="1" si="6"/>
        <v>0</v>
      </c>
      <c r="D43" s="18" t="s">
        <v>106</v>
      </c>
      <c r="E43" s="18">
        <v>1121289958</v>
      </c>
      <c r="F43" s="18" t="s">
        <v>63</v>
      </c>
      <c r="G43" s="47"/>
      <c r="H43" s="20">
        <v>3</v>
      </c>
      <c r="I43" s="20">
        <v>2</v>
      </c>
      <c r="J43" s="18">
        <f t="shared" si="7"/>
        <v>1</v>
      </c>
      <c r="K43" s="21">
        <v>1800</v>
      </c>
      <c r="L43" s="22"/>
      <c r="M43" s="23">
        <f t="shared" si="8"/>
        <v>1800</v>
      </c>
      <c r="N43" s="21">
        <v>900</v>
      </c>
      <c r="O43" s="23">
        <f t="shared" si="9"/>
        <v>900</v>
      </c>
      <c r="P43" s="18" t="str">
        <f t="shared" si="10"/>
        <v>دفع جزئي</v>
      </c>
      <c r="Q43" s="18" t="str">
        <f t="shared" si="11"/>
        <v>تسليم جزئي</v>
      </c>
      <c r="R43" s="18"/>
    </row>
    <row r="44" spans="2:18">
      <c r="B44" s="18"/>
      <c r="C44" s="19">
        <f t="shared" ca="1" si="6"/>
        <v>0</v>
      </c>
      <c r="D44" s="18" t="s">
        <v>107</v>
      </c>
      <c r="E44" s="18">
        <v>1205809234</v>
      </c>
      <c r="F44" s="18" t="s">
        <v>63</v>
      </c>
      <c r="G44" s="28" t="s">
        <v>71</v>
      </c>
      <c r="H44" s="20">
        <v>3</v>
      </c>
      <c r="I44" s="20">
        <v>1</v>
      </c>
      <c r="J44" s="18">
        <f t="shared" si="7"/>
        <v>2</v>
      </c>
      <c r="K44" s="21">
        <v>1800</v>
      </c>
      <c r="L44" s="22"/>
      <c r="M44" s="23">
        <f t="shared" si="8"/>
        <v>1800</v>
      </c>
      <c r="N44" s="21">
        <v>900</v>
      </c>
      <c r="O44" s="23">
        <f t="shared" si="9"/>
        <v>900</v>
      </c>
      <c r="P44" s="18" t="str">
        <f t="shared" si="10"/>
        <v>دفع جزئي</v>
      </c>
      <c r="Q44" s="18" t="str">
        <f t="shared" si="11"/>
        <v>تسليم جزئي</v>
      </c>
      <c r="R44" s="18"/>
    </row>
    <row r="45" spans="2:18" s="83" customFormat="1">
      <c r="B45" s="75"/>
      <c r="C45" s="76">
        <f ca="1">IF(D45="",0,IF(C45=0,TODAY(),C45))</f>
        <v>0</v>
      </c>
      <c r="D45" s="77" t="s">
        <v>108</v>
      </c>
      <c r="E45" s="75">
        <v>1555655126</v>
      </c>
      <c r="F45" s="75" t="s">
        <v>63</v>
      </c>
      <c r="G45" s="77" t="s">
        <v>71</v>
      </c>
      <c r="H45" s="78">
        <v>3</v>
      </c>
      <c r="I45" s="78">
        <v>1</v>
      </c>
      <c r="J45" s="75">
        <f>IF(H45="","",H45-I45)</f>
        <v>2</v>
      </c>
      <c r="K45" s="79">
        <v>1800</v>
      </c>
      <c r="L45" s="80"/>
      <c r="M45" s="81">
        <f>IF(K45="","",K45*(1-L45))</f>
        <v>1800</v>
      </c>
      <c r="N45" s="79">
        <v>1500</v>
      </c>
      <c r="O45" s="81">
        <f>IF(M45="","",M45-N45)</f>
        <v>300</v>
      </c>
      <c r="P45" s="75" t="str">
        <f>IF(K45="","",IF(O45&lt;=0,"مدفوع بالكامل",IF(N45=0,"لم يدفع","دفع جزئي")))</f>
        <v>دفع جزئي</v>
      </c>
      <c r="Q45" s="75" t="str">
        <f>IF(H45="","",IF(J45&lt;=0,"تم التسليم بالكامل",IF(I45=0,"لم يبدأ التنفيذ","تسليم جزئي")))</f>
        <v>تسليم جزئي</v>
      </c>
      <c r="R45" s="82" t="s">
        <v>159</v>
      </c>
    </row>
    <row r="46" spans="2:18">
      <c r="B46" s="18"/>
      <c r="C46" s="19">
        <f t="shared" ca="1" si="6"/>
        <v>0</v>
      </c>
      <c r="D46" s="18" t="s">
        <v>109</v>
      </c>
      <c r="E46" s="18">
        <v>1091224928</v>
      </c>
      <c r="F46" s="18" t="s">
        <v>63</v>
      </c>
      <c r="G46" s="84" t="s">
        <v>152</v>
      </c>
      <c r="H46" s="20">
        <v>3</v>
      </c>
      <c r="I46" s="20">
        <v>2</v>
      </c>
      <c r="J46" s="18">
        <f t="shared" si="7"/>
        <v>1</v>
      </c>
      <c r="K46" s="21">
        <v>1800</v>
      </c>
      <c r="L46" s="22"/>
      <c r="M46" s="23">
        <f t="shared" si="8"/>
        <v>1800</v>
      </c>
      <c r="N46" s="21">
        <v>1200</v>
      </c>
      <c r="O46" s="23">
        <f t="shared" si="9"/>
        <v>600</v>
      </c>
      <c r="P46" s="18" t="str">
        <f t="shared" si="10"/>
        <v>دفع جزئي</v>
      </c>
      <c r="Q46" s="18" t="str">
        <f t="shared" si="11"/>
        <v>تسليم جزئي</v>
      </c>
      <c r="R46" s="18"/>
    </row>
    <row r="47" spans="2:18" s="72" customFormat="1">
      <c r="B47" s="66"/>
      <c r="C47" s="67">
        <f t="shared" ref="C47:C69" ca="1" si="12">IF(D47="",0,IF(C47=0,TODAY(),C47))</f>
        <v>0</v>
      </c>
      <c r="D47" s="66" t="s">
        <v>111</v>
      </c>
      <c r="E47" s="66">
        <v>1271717265</v>
      </c>
      <c r="F47" s="66" t="s">
        <v>63</v>
      </c>
      <c r="G47" s="65" t="s">
        <v>150</v>
      </c>
      <c r="H47" s="68">
        <v>3</v>
      </c>
      <c r="I47" s="68">
        <v>0</v>
      </c>
      <c r="J47" s="66">
        <f t="shared" ref="J47:J69" si="13">IF(H47="","",H47-I47)</f>
        <v>3</v>
      </c>
      <c r="K47" s="69">
        <v>1800</v>
      </c>
      <c r="L47" s="70"/>
      <c r="M47" s="71">
        <f t="shared" ref="M47:M69" si="14">IF(K47="","",K47*(1-L47))</f>
        <v>1800</v>
      </c>
      <c r="N47" s="69">
        <v>900</v>
      </c>
      <c r="O47" s="71">
        <f t="shared" ref="O47:O69" si="15">IF(M47="","",M47-N47)</f>
        <v>900</v>
      </c>
      <c r="P47" s="66" t="str">
        <f t="shared" ref="P47:P69" si="16">IF(K47="","",IF(O47&lt;=0,"مدفوع بالكامل",IF(N47=0,"لم يدفع","دفع جزئي")))</f>
        <v>دفع جزئي</v>
      </c>
      <c r="Q47" s="66" t="str">
        <f t="shared" ref="Q47:Q69" si="17">IF(H47="","",IF(J47&lt;=0,"تم التسليم بالكامل",IF(I47=0,"لم يبدأ التنفيذ","تسليم جزئي")))</f>
        <v>لم يبدأ التنفيذ</v>
      </c>
      <c r="R47" s="66"/>
    </row>
    <row r="48" spans="2:18">
      <c r="B48" s="18"/>
      <c r="C48" s="19">
        <f t="shared" ca="1" si="12"/>
        <v>0</v>
      </c>
      <c r="D48" s="18" t="s">
        <v>112</v>
      </c>
      <c r="E48" s="18">
        <v>1000911254</v>
      </c>
      <c r="F48" s="18" t="s">
        <v>63</v>
      </c>
      <c r="G48" s="28" t="s">
        <v>71</v>
      </c>
      <c r="H48" s="20">
        <v>3</v>
      </c>
      <c r="I48" s="20">
        <v>1</v>
      </c>
      <c r="J48" s="18">
        <f t="shared" si="13"/>
        <v>2</v>
      </c>
      <c r="K48" s="21">
        <v>1800</v>
      </c>
      <c r="L48" s="22"/>
      <c r="M48" s="23">
        <f t="shared" si="14"/>
        <v>1800</v>
      </c>
      <c r="N48" s="21">
        <v>1800</v>
      </c>
      <c r="O48" s="54">
        <f t="shared" si="15"/>
        <v>0</v>
      </c>
      <c r="P48" s="18" t="str">
        <f t="shared" si="16"/>
        <v>مدفوع بالكامل</v>
      </c>
      <c r="Q48" s="18" t="str">
        <f t="shared" si="17"/>
        <v>تسليم جزئي</v>
      </c>
      <c r="R48" s="18"/>
    </row>
    <row r="49" spans="2:18">
      <c r="B49" s="18"/>
      <c r="C49" s="19">
        <f ca="1">IF(D49="",0,IF(C49=0,TODAY(),C49))</f>
        <v>0</v>
      </c>
      <c r="D49" s="18" t="s">
        <v>113</v>
      </c>
      <c r="E49" s="18">
        <v>1283340722</v>
      </c>
      <c r="F49" s="18" t="s">
        <v>63</v>
      </c>
      <c r="G49" s="18" t="s">
        <v>71</v>
      </c>
      <c r="H49" s="20">
        <v>3</v>
      </c>
      <c r="I49" s="20">
        <v>1</v>
      </c>
      <c r="J49" s="18">
        <f t="shared" si="13"/>
        <v>2</v>
      </c>
      <c r="K49" s="21">
        <v>1800</v>
      </c>
      <c r="L49" s="22"/>
      <c r="M49" s="23">
        <f t="shared" si="14"/>
        <v>1800</v>
      </c>
      <c r="N49" s="21">
        <v>1200</v>
      </c>
      <c r="O49" s="23">
        <f t="shared" si="15"/>
        <v>600</v>
      </c>
      <c r="P49" s="18" t="str">
        <f t="shared" si="16"/>
        <v>دفع جزئي</v>
      </c>
      <c r="Q49" s="18" t="str">
        <f t="shared" si="17"/>
        <v>تسليم جزئي</v>
      </c>
      <c r="R49" s="18"/>
    </row>
    <row r="50" spans="2:18">
      <c r="B50" s="18"/>
      <c r="C50" s="19">
        <f ca="1">IF(D50="",0,IF(C50=0,TODAY(),C50))</f>
        <v>0</v>
      </c>
      <c r="D50" s="18" t="s">
        <v>114</v>
      </c>
      <c r="E50" s="18">
        <v>1017002363</v>
      </c>
      <c r="F50" s="18" t="s">
        <v>63</v>
      </c>
      <c r="G50" s="18" t="s">
        <v>71</v>
      </c>
      <c r="H50" s="20">
        <v>3</v>
      </c>
      <c r="I50" s="20">
        <v>1</v>
      </c>
      <c r="J50" s="18">
        <f t="shared" si="13"/>
        <v>2</v>
      </c>
      <c r="K50" s="21">
        <v>1800</v>
      </c>
      <c r="L50" s="22"/>
      <c r="M50" s="23">
        <f t="shared" si="14"/>
        <v>1800</v>
      </c>
      <c r="N50" s="21">
        <v>1100</v>
      </c>
      <c r="O50" s="23">
        <f t="shared" si="15"/>
        <v>700</v>
      </c>
      <c r="P50" s="18" t="str">
        <f t="shared" si="16"/>
        <v>دفع جزئي</v>
      </c>
      <c r="Q50" s="18" t="str">
        <f t="shared" si="17"/>
        <v>تسليم جزئي</v>
      </c>
      <c r="R50" s="18"/>
    </row>
    <row r="51" spans="2:18" ht="28">
      <c r="B51" s="18"/>
      <c r="C51" s="19">
        <f t="shared" ca="1" si="12"/>
        <v>0</v>
      </c>
      <c r="D51" s="18" t="s">
        <v>115</v>
      </c>
      <c r="E51" s="55">
        <v>1143031110</v>
      </c>
      <c r="F51" s="18" t="s">
        <v>63</v>
      </c>
      <c r="G51" s="18" t="s">
        <v>71</v>
      </c>
      <c r="H51" s="20">
        <v>3</v>
      </c>
      <c r="I51" s="20">
        <v>1</v>
      </c>
      <c r="J51" s="18">
        <f t="shared" si="13"/>
        <v>2</v>
      </c>
      <c r="K51" s="21">
        <v>1800</v>
      </c>
      <c r="L51" s="22"/>
      <c r="M51" s="23">
        <f t="shared" si="14"/>
        <v>1800</v>
      </c>
      <c r="N51" s="21">
        <v>1200</v>
      </c>
      <c r="O51" s="23">
        <f t="shared" si="15"/>
        <v>600</v>
      </c>
      <c r="P51" s="18" t="str">
        <f t="shared" si="16"/>
        <v>دفع جزئي</v>
      </c>
      <c r="Q51" s="18" t="str">
        <f t="shared" si="17"/>
        <v>تسليم جزئي</v>
      </c>
      <c r="R51" s="18"/>
    </row>
    <row r="52" spans="2:18" ht="28">
      <c r="B52" s="18"/>
      <c r="C52" s="19">
        <f t="shared" ca="1" si="12"/>
        <v>0</v>
      </c>
      <c r="D52" s="18" t="s">
        <v>116</v>
      </c>
      <c r="E52" s="18">
        <v>1010026181</v>
      </c>
      <c r="F52" s="18" t="s">
        <v>63</v>
      </c>
      <c r="G52" s="28" t="s">
        <v>75</v>
      </c>
      <c r="H52" s="20">
        <v>4</v>
      </c>
      <c r="I52" s="20">
        <v>2</v>
      </c>
      <c r="J52" s="18">
        <f t="shared" si="13"/>
        <v>2</v>
      </c>
      <c r="K52" s="21">
        <v>2400</v>
      </c>
      <c r="L52" s="22"/>
      <c r="M52" s="23">
        <f t="shared" si="14"/>
        <v>2400</v>
      </c>
      <c r="N52" s="21">
        <v>1000</v>
      </c>
      <c r="O52" s="23">
        <f t="shared" si="15"/>
        <v>1400</v>
      </c>
      <c r="P52" s="18" t="str">
        <f t="shared" si="16"/>
        <v>دفع جزئي</v>
      </c>
      <c r="Q52" s="18" t="str">
        <f t="shared" si="17"/>
        <v>تسليم جزئي</v>
      </c>
      <c r="R52" s="18"/>
    </row>
    <row r="53" spans="2:18" s="39" customFormat="1">
      <c r="B53" s="40"/>
      <c r="C53" s="41">
        <f t="shared" ca="1" si="12"/>
        <v>0</v>
      </c>
      <c r="D53" s="40" t="s">
        <v>117</v>
      </c>
      <c r="E53" s="40">
        <v>1100737860</v>
      </c>
      <c r="F53" s="40" t="s">
        <v>63</v>
      </c>
      <c r="G53" s="40" t="s">
        <v>128</v>
      </c>
      <c r="H53" s="42">
        <v>2</v>
      </c>
      <c r="I53" s="42">
        <v>2</v>
      </c>
      <c r="J53" s="40">
        <f t="shared" si="13"/>
        <v>0</v>
      </c>
      <c r="K53" s="43">
        <v>1200</v>
      </c>
      <c r="L53" s="44"/>
      <c r="M53" s="45">
        <f t="shared" si="14"/>
        <v>1200</v>
      </c>
      <c r="N53" s="43">
        <v>900</v>
      </c>
      <c r="O53" s="45">
        <f t="shared" si="15"/>
        <v>300</v>
      </c>
      <c r="P53" s="40" t="str">
        <f t="shared" si="16"/>
        <v>دفع جزئي</v>
      </c>
      <c r="Q53" s="40" t="str">
        <f t="shared" si="17"/>
        <v>تم التسليم بالكامل</v>
      </c>
      <c r="R53" s="40"/>
    </row>
    <row r="54" spans="2:18">
      <c r="B54" s="18"/>
      <c r="C54" s="19">
        <f t="shared" ca="1" si="12"/>
        <v>0</v>
      </c>
      <c r="D54" s="18" t="s">
        <v>118</v>
      </c>
      <c r="E54" s="18">
        <v>1009027686</v>
      </c>
      <c r="F54" s="18" t="s">
        <v>63</v>
      </c>
      <c r="G54" s="28" t="s">
        <v>71</v>
      </c>
      <c r="H54" s="20">
        <v>3</v>
      </c>
      <c r="I54" s="20">
        <v>2</v>
      </c>
      <c r="J54" s="18">
        <f t="shared" si="13"/>
        <v>1</v>
      </c>
      <c r="K54" s="21">
        <v>1800</v>
      </c>
      <c r="L54" s="22"/>
      <c r="M54" s="23">
        <f t="shared" si="14"/>
        <v>1800</v>
      </c>
      <c r="N54" s="21">
        <v>1200</v>
      </c>
      <c r="O54" s="23">
        <f t="shared" si="15"/>
        <v>600</v>
      </c>
      <c r="P54" s="18" t="str">
        <f t="shared" si="16"/>
        <v>دفع جزئي</v>
      </c>
      <c r="Q54" s="18" t="str">
        <f t="shared" si="17"/>
        <v>تسليم جزئي</v>
      </c>
      <c r="R54" s="18"/>
    </row>
    <row r="55" spans="2:18" s="72" customFormat="1" ht="28">
      <c r="B55" s="66"/>
      <c r="C55" s="67">
        <f t="shared" ca="1" si="12"/>
        <v>0</v>
      </c>
      <c r="D55" s="66" t="s">
        <v>119</v>
      </c>
      <c r="E55" s="66">
        <v>1201482032</v>
      </c>
      <c r="F55" s="66" t="s">
        <v>63</v>
      </c>
      <c r="G55" s="65" t="s">
        <v>151</v>
      </c>
      <c r="H55" s="68">
        <v>2</v>
      </c>
      <c r="I55" s="68"/>
      <c r="J55" s="66">
        <f t="shared" si="13"/>
        <v>2</v>
      </c>
      <c r="K55" s="69">
        <v>1200</v>
      </c>
      <c r="L55" s="70"/>
      <c r="M55" s="71">
        <f t="shared" si="14"/>
        <v>1200</v>
      </c>
      <c r="N55" s="69">
        <v>600</v>
      </c>
      <c r="O55" s="71">
        <f t="shared" si="15"/>
        <v>600</v>
      </c>
      <c r="P55" s="66" t="str">
        <f t="shared" si="16"/>
        <v>دفع جزئي</v>
      </c>
      <c r="Q55" s="66" t="str">
        <f t="shared" si="17"/>
        <v>لم يبدأ التنفيذ</v>
      </c>
      <c r="R55" s="66"/>
    </row>
    <row r="56" spans="2:18">
      <c r="B56" s="18"/>
      <c r="C56" s="19">
        <f t="shared" ca="1" si="12"/>
        <v>0</v>
      </c>
      <c r="D56" s="18" t="s">
        <v>120</v>
      </c>
      <c r="E56" s="18">
        <v>1005235881</v>
      </c>
      <c r="F56" s="18" t="s">
        <v>63</v>
      </c>
      <c r="G56" s="18" t="s">
        <v>157</v>
      </c>
      <c r="H56" s="20">
        <v>3</v>
      </c>
      <c r="I56" s="20">
        <v>1</v>
      </c>
      <c r="J56" s="18">
        <f t="shared" si="13"/>
        <v>2</v>
      </c>
      <c r="K56" s="21">
        <v>1800</v>
      </c>
      <c r="L56" s="22"/>
      <c r="M56" s="23">
        <f t="shared" si="14"/>
        <v>1800</v>
      </c>
      <c r="N56" s="21">
        <v>1200</v>
      </c>
      <c r="O56" s="23">
        <f t="shared" si="15"/>
        <v>600</v>
      </c>
      <c r="P56" s="18" t="str">
        <f t="shared" si="16"/>
        <v>دفع جزئي</v>
      </c>
      <c r="Q56" s="18" t="str">
        <f t="shared" si="17"/>
        <v>تسليم جزئي</v>
      </c>
      <c r="R56" s="18"/>
    </row>
    <row r="57" spans="2:18" ht="28">
      <c r="B57" s="18"/>
      <c r="C57" s="19">
        <f t="shared" ca="1" si="12"/>
        <v>0</v>
      </c>
      <c r="D57" s="18" t="s">
        <v>121</v>
      </c>
      <c r="E57" s="18">
        <v>1100923586</v>
      </c>
      <c r="F57" s="18" t="s">
        <v>63</v>
      </c>
      <c r="G57" s="18" t="s">
        <v>71</v>
      </c>
      <c r="H57" s="20">
        <v>3</v>
      </c>
      <c r="I57" s="20"/>
      <c r="J57" s="18">
        <f t="shared" si="13"/>
        <v>3</v>
      </c>
      <c r="K57" s="21">
        <v>1800</v>
      </c>
      <c r="L57" s="22"/>
      <c r="M57" s="23">
        <f t="shared" si="14"/>
        <v>1800</v>
      </c>
      <c r="N57" s="21">
        <v>300</v>
      </c>
      <c r="O57" s="23">
        <f t="shared" si="15"/>
        <v>1500</v>
      </c>
      <c r="P57" s="18" t="str">
        <f t="shared" si="16"/>
        <v>دفع جزئي</v>
      </c>
      <c r="Q57" s="18" t="str">
        <f t="shared" si="17"/>
        <v>لم يبدأ التنفيذ</v>
      </c>
      <c r="R57" s="18"/>
    </row>
    <row r="58" spans="2:18" ht="28">
      <c r="B58" s="18"/>
      <c r="C58" s="19">
        <f t="shared" ca="1" si="12"/>
        <v>0</v>
      </c>
      <c r="D58" s="18" t="s">
        <v>122</v>
      </c>
      <c r="E58" s="18">
        <v>1030079438</v>
      </c>
      <c r="F58" s="18" t="s">
        <v>63</v>
      </c>
      <c r="G58" s="18" t="s">
        <v>158</v>
      </c>
      <c r="H58" s="20">
        <v>3</v>
      </c>
      <c r="I58" s="20">
        <v>1</v>
      </c>
      <c r="J58" s="18">
        <f t="shared" si="13"/>
        <v>2</v>
      </c>
      <c r="K58" s="21">
        <v>1800</v>
      </c>
      <c r="L58" s="22">
        <v>0.17</v>
      </c>
      <c r="M58" s="23">
        <f t="shared" si="14"/>
        <v>1494</v>
      </c>
      <c r="N58" s="21">
        <v>750</v>
      </c>
      <c r="O58" s="23">
        <f t="shared" si="15"/>
        <v>744</v>
      </c>
      <c r="P58" s="18" t="str">
        <f t="shared" si="16"/>
        <v>دفع جزئي</v>
      </c>
      <c r="Q58" s="18" t="str">
        <f t="shared" si="17"/>
        <v>تسليم جزئي</v>
      </c>
      <c r="R58" s="18"/>
    </row>
    <row r="59" spans="2:18" ht="28">
      <c r="B59" s="18"/>
      <c r="C59" s="19">
        <f t="shared" ca="1" si="12"/>
        <v>0</v>
      </c>
      <c r="D59" s="18" t="s">
        <v>123</v>
      </c>
      <c r="E59" s="18">
        <v>1003078364</v>
      </c>
      <c r="F59" s="18" t="s">
        <v>63</v>
      </c>
      <c r="G59" s="18" t="s">
        <v>132</v>
      </c>
      <c r="H59" s="20">
        <v>2</v>
      </c>
      <c r="I59" s="20">
        <v>1</v>
      </c>
      <c r="J59" s="18">
        <f t="shared" si="13"/>
        <v>1</v>
      </c>
      <c r="K59" s="21">
        <v>1200</v>
      </c>
      <c r="L59" s="22"/>
      <c r="M59" s="23">
        <f t="shared" si="14"/>
        <v>1200</v>
      </c>
      <c r="N59" s="21">
        <v>900</v>
      </c>
      <c r="O59" s="23">
        <f t="shared" si="15"/>
        <v>300</v>
      </c>
      <c r="P59" s="18" t="str">
        <f t="shared" si="16"/>
        <v>دفع جزئي</v>
      </c>
      <c r="Q59" s="18" t="str">
        <f t="shared" si="17"/>
        <v>تسليم جزئي</v>
      </c>
      <c r="R59" s="18"/>
    </row>
    <row r="60" spans="2:18">
      <c r="B60" s="18"/>
      <c r="C60" s="19">
        <f t="shared" ca="1" si="12"/>
        <v>0</v>
      </c>
      <c r="D60" s="18" t="s">
        <v>124</v>
      </c>
      <c r="E60" s="18">
        <v>1000281608</v>
      </c>
      <c r="F60" s="18" t="s">
        <v>63</v>
      </c>
      <c r="G60" s="18" t="s">
        <v>128</v>
      </c>
      <c r="H60" s="20">
        <v>2</v>
      </c>
      <c r="I60" s="20">
        <v>1</v>
      </c>
      <c r="J60" s="18">
        <f t="shared" si="13"/>
        <v>1</v>
      </c>
      <c r="K60" s="21">
        <v>1200</v>
      </c>
      <c r="L60" s="22"/>
      <c r="M60" s="23">
        <f t="shared" si="14"/>
        <v>1200</v>
      </c>
      <c r="N60" s="21">
        <v>600</v>
      </c>
      <c r="O60" s="23">
        <f t="shared" si="15"/>
        <v>600</v>
      </c>
      <c r="P60" s="18" t="str">
        <f t="shared" si="16"/>
        <v>دفع جزئي</v>
      </c>
      <c r="Q60" s="18" t="str">
        <f t="shared" si="17"/>
        <v>تسليم جزئي</v>
      </c>
      <c r="R60" s="18"/>
    </row>
    <row r="61" spans="2:18">
      <c r="B61" s="18"/>
      <c r="C61" s="19">
        <f t="shared" ca="1" si="12"/>
        <v>0</v>
      </c>
      <c r="D61" s="18" t="s">
        <v>127</v>
      </c>
      <c r="E61" s="18">
        <v>1225944726</v>
      </c>
      <c r="F61" s="18" t="s">
        <v>63</v>
      </c>
      <c r="G61" s="18" t="s">
        <v>71</v>
      </c>
      <c r="H61" s="20">
        <v>3</v>
      </c>
      <c r="I61" s="20">
        <v>1</v>
      </c>
      <c r="J61" s="18">
        <f t="shared" si="13"/>
        <v>2</v>
      </c>
      <c r="K61" s="21">
        <v>1800</v>
      </c>
      <c r="L61" s="22"/>
      <c r="M61" s="23">
        <f t="shared" si="14"/>
        <v>1800</v>
      </c>
      <c r="N61" s="21">
        <v>1200</v>
      </c>
      <c r="O61" s="23">
        <f t="shared" si="15"/>
        <v>600</v>
      </c>
      <c r="P61" s="18" t="str">
        <f t="shared" si="16"/>
        <v>دفع جزئي</v>
      </c>
      <c r="Q61" s="18" t="str">
        <f t="shared" si="17"/>
        <v>تسليم جزئي</v>
      </c>
      <c r="R61" s="18"/>
    </row>
    <row r="62" spans="2:18">
      <c r="B62" s="18"/>
      <c r="C62" s="19">
        <f t="shared" ca="1" si="12"/>
        <v>0</v>
      </c>
      <c r="D62" s="18" t="s">
        <v>131</v>
      </c>
      <c r="E62" s="18">
        <v>1096664818</v>
      </c>
      <c r="F62" s="18" t="s">
        <v>63</v>
      </c>
      <c r="G62" s="18" t="s">
        <v>132</v>
      </c>
      <c r="H62" s="20">
        <v>2</v>
      </c>
      <c r="I62" s="20">
        <v>1</v>
      </c>
      <c r="J62" s="18">
        <f t="shared" si="13"/>
        <v>1</v>
      </c>
      <c r="K62" s="21">
        <v>1200</v>
      </c>
      <c r="L62" s="22"/>
      <c r="M62" s="23">
        <f>IF(K62="","",K62*(1-L62))</f>
        <v>1200</v>
      </c>
      <c r="N62" s="21">
        <v>900</v>
      </c>
      <c r="O62" s="23">
        <f t="shared" si="15"/>
        <v>300</v>
      </c>
      <c r="P62" s="18" t="str">
        <f>IF(K62="","",IF(O62&lt;=0,"مدفوع بالكامل",IF(N62=0,"لم يدفع","دفع جزئي")))</f>
        <v>دفع جزئي</v>
      </c>
      <c r="Q62" s="18" t="str">
        <f t="shared" si="17"/>
        <v>تسليم جزئي</v>
      </c>
      <c r="R62" s="18"/>
    </row>
    <row r="63" spans="2:18" s="39" customFormat="1">
      <c r="B63" s="40"/>
      <c r="C63" s="41">
        <f t="shared" ca="1" si="12"/>
        <v>0</v>
      </c>
      <c r="D63" s="40" t="s">
        <v>140</v>
      </c>
      <c r="E63" s="40">
        <v>1006896785</v>
      </c>
      <c r="F63" s="40" t="s">
        <v>63</v>
      </c>
      <c r="G63" s="40" t="s">
        <v>128</v>
      </c>
      <c r="H63" s="42">
        <v>2</v>
      </c>
      <c r="I63" s="42">
        <v>2</v>
      </c>
      <c r="J63" s="40">
        <f t="shared" si="13"/>
        <v>0</v>
      </c>
      <c r="K63" s="43">
        <v>1200</v>
      </c>
      <c r="L63" s="44"/>
      <c r="M63" s="45">
        <f t="shared" si="14"/>
        <v>1200</v>
      </c>
      <c r="N63" s="43">
        <v>1200</v>
      </c>
      <c r="O63" s="54">
        <f t="shared" si="15"/>
        <v>0</v>
      </c>
      <c r="P63" s="40" t="str">
        <f t="shared" si="16"/>
        <v>مدفوع بالكامل</v>
      </c>
      <c r="Q63" s="40" t="str">
        <f t="shared" si="17"/>
        <v>تم التسليم بالكامل</v>
      </c>
      <c r="R63" s="40"/>
    </row>
    <row r="64" spans="2:18">
      <c r="B64" s="18"/>
      <c r="C64" s="19">
        <f t="shared" ca="1" si="12"/>
        <v>0</v>
      </c>
      <c r="D64" s="18" t="s">
        <v>141</v>
      </c>
      <c r="E64" s="18">
        <v>1223719171</v>
      </c>
      <c r="F64" s="18" t="s">
        <v>63</v>
      </c>
      <c r="G64" s="18" t="s">
        <v>128</v>
      </c>
      <c r="H64" s="20">
        <v>2</v>
      </c>
      <c r="I64" s="20">
        <v>1</v>
      </c>
      <c r="J64" s="18">
        <f t="shared" si="13"/>
        <v>1</v>
      </c>
      <c r="K64" s="21">
        <v>1200</v>
      </c>
      <c r="L64" s="22"/>
      <c r="M64" s="23">
        <f t="shared" si="14"/>
        <v>1200</v>
      </c>
      <c r="N64" s="21">
        <v>1200</v>
      </c>
      <c r="O64" s="54">
        <f t="shared" si="15"/>
        <v>0</v>
      </c>
      <c r="P64" s="18" t="str">
        <f t="shared" si="16"/>
        <v>مدفوع بالكامل</v>
      </c>
      <c r="Q64" s="18" t="str">
        <f t="shared" si="17"/>
        <v>تسليم جزئي</v>
      </c>
      <c r="R64" s="18"/>
    </row>
    <row r="65" spans="2:18">
      <c r="B65" s="18"/>
      <c r="C65" s="19">
        <f t="shared" ca="1" si="12"/>
        <v>0</v>
      </c>
      <c r="D65" s="18" t="s">
        <v>142</v>
      </c>
      <c r="E65" s="18">
        <v>1005888811</v>
      </c>
      <c r="F65" s="18" t="s">
        <v>63</v>
      </c>
      <c r="G65" s="18" t="s">
        <v>143</v>
      </c>
      <c r="H65" s="20">
        <v>3</v>
      </c>
      <c r="I65" s="20"/>
      <c r="J65" s="18">
        <f t="shared" si="13"/>
        <v>3</v>
      </c>
      <c r="K65" s="21">
        <v>1800</v>
      </c>
      <c r="L65" s="22"/>
      <c r="M65" s="23">
        <f t="shared" si="14"/>
        <v>1800</v>
      </c>
      <c r="N65" s="21">
        <v>900</v>
      </c>
      <c r="O65" s="23">
        <f t="shared" si="15"/>
        <v>900</v>
      </c>
      <c r="P65" s="18" t="str">
        <f t="shared" si="16"/>
        <v>دفع جزئي</v>
      </c>
      <c r="Q65" s="18" t="str">
        <f t="shared" si="17"/>
        <v>لم يبدأ التنفيذ</v>
      </c>
      <c r="R65" s="65" t="s">
        <v>149</v>
      </c>
    </row>
    <row r="66" spans="2:18" ht="28">
      <c r="B66" s="18"/>
      <c r="C66" s="19">
        <f t="shared" ca="1" si="12"/>
        <v>0</v>
      </c>
      <c r="D66" s="18" t="s">
        <v>148</v>
      </c>
      <c r="E66" s="18">
        <v>1027374752</v>
      </c>
      <c r="F66" s="18" t="s">
        <v>63</v>
      </c>
      <c r="G66" s="18" t="s">
        <v>75</v>
      </c>
      <c r="H66" s="20">
        <v>4</v>
      </c>
      <c r="I66" s="20">
        <v>1</v>
      </c>
      <c r="J66" s="18">
        <f t="shared" si="13"/>
        <v>3</v>
      </c>
      <c r="K66" s="21">
        <v>2400</v>
      </c>
      <c r="L66" s="22"/>
      <c r="M66" s="23">
        <f t="shared" si="14"/>
        <v>2400</v>
      </c>
      <c r="N66" s="21">
        <v>1800</v>
      </c>
      <c r="O66" s="23">
        <f t="shared" si="15"/>
        <v>600</v>
      </c>
      <c r="P66" s="18" t="str">
        <f t="shared" si="16"/>
        <v>دفع جزئي</v>
      </c>
      <c r="Q66" s="18" t="str">
        <f t="shared" si="17"/>
        <v>تسليم جزئي</v>
      </c>
      <c r="R66" s="18"/>
    </row>
    <row r="67" spans="2:18" ht="28">
      <c r="B67" s="18"/>
      <c r="C67" s="19">
        <f t="shared" ca="1" si="12"/>
        <v>0</v>
      </c>
      <c r="D67" s="18" t="s">
        <v>156</v>
      </c>
      <c r="E67" s="18">
        <v>1024100564</v>
      </c>
      <c r="F67" s="18" t="s">
        <v>63</v>
      </c>
      <c r="G67" s="18" t="s">
        <v>100</v>
      </c>
      <c r="H67" s="20">
        <v>5</v>
      </c>
      <c r="I67" s="20">
        <v>1</v>
      </c>
      <c r="J67" s="18">
        <f t="shared" si="13"/>
        <v>4</v>
      </c>
      <c r="K67" s="21">
        <v>3000</v>
      </c>
      <c r="L67" s="22"/>
      <c r="M67" s="23">
        <f t="shared" si="14"/>
        <v>3000</v>
      </c>
      <c r="N67" s="21">
        <v>2400</v>
      </c>
      <c r="O67" s="23">
        <f t="shared" si="15"/>
        <v>600</v>
      </c>
      <c r="P67" s="18" t="str">
        <f t="shared" si="16"/>
        <v>دفع جزئي</v>
      </c>
      <c r="Q67" s="18" t="str">
        <f t="shared" si="17"/>
        <v>تسليم جزئي</v>
      </c>
      <c r="R67" s="18"/>
    </row>
    <row r="68" spans="2:18" ht="28">
      <c r="B68" s="18"/>
      <c r="C68" s="19">
        <f t="shared" ca="1" si="12"/>
        <v>0</v>
      </c>
      <c r="D68" s="18" t="s">
        <v>160</v>
      </c>
      <c r="E68" s="18">
        <v>1127045557</v>
      </c>
      <c r="F68" s="18" t="s">
        <v>63</v>
      </c>
      <c r="G68" s="18" t="s">
        <v>161</v>
      </c>
      <c r="H68" s="20">
        <v>4</v>
      </c>
      <c r="I68" s="20">
        <v>2</v>
      </c>
      <c r="J68" s="18">
        <f t="shared" si="13"/>
        <v>2</v>
      </c>
      <c r="K68" s="21">
        <v>2400</v>
      </c>
      <c r="L68" s="22"/>
      <c r="M68" s="23">
        <f t="shared" si="14"/>
        <v>2400</v>
      </c>
      <c r="N68" s="21">
        <v>1800</v>
      </c>
      <c r="O68" s="23">
        <f t="shared" si="15"/>
        <v>600</v>
      </c>
      <c r="P68" s="18" t="str">
        <f t="shared" si="16"/>
        <v>دفع جزئي</v>
      </c>
      <c r="Q68" s="18" t="str">
        <f t="shared" si="17"/>
        <v>تسليم جزئي</v>
      </c>
      <c r="R68" s="18"/>
    </row>
    <row r="69" spans="2:18">
      <c r="B69" s="18"/>
      <c r="C69" s="19">
        <f t="shared" ca="1" si="12"/>
        <v>0</v>
      </c>
      <c r="D69" s="18" t="s">
        <v>162</v>
      </c>
      <c r="E69" s="18">
        <v>1225573597</v>
      </c>
      <c r="F69" s="18" t="s">
        <v>63</v>
      </c>
      <c r="G69" s="18" t="s">
        <v>163</v>
      </c>
      <c r="H69" s="20">
        <v>2</v>
      </c>
      <c r="I69" s="20">
        <v>1</v>
      </c>
      <c r="J69" s="18">
        <f t="shared" si="13"/>
        <v>1</v>
      </c>
      <c r="K69" s="21">
        <v>1200</v>
      </c>
      <c r="L69" s="22"/>
      <c r="M69" s="23">
        <f t="shared" si="14"/>
        <v>1200</v>
      </c>
      <c r="N69" s="21">
        <v>900</v>
      </c>
      <c r="O69" s="23">
        <f t="shared" si="15"/>
        <v>300</v>
      </c>
      <c r="P69" s="18" t="str">
        <f t="shared" si="16"/>
        <v>دفع جزئي</v>
      </c>
      <c r="Q69" s="18" t="str">
        <f t="shared" si="17"/>
        <v>تسليم جزئي</v>
      </c>
      <c r="R69" s="18"/>
    </row>
    <row r="70" spans="2:18">
      <c r="B70" s="18"/>
      <c r="C70" s="19">
        <f t="shared" ref="C70:C101" ca="1" si="18">IF(D70="",0,IF(C70=0,TODAY(),C70))</f>
        <v>0</v>
      </c>
      <c r="D70" s="18"/>
      <c r="E70" s="18"/>
      <c r="F70" s="18"/>
      <c r="G70" s="18"/>
      <c r="H70" s="20"/>
      <c r="I70" s="20"/>
      <c r="J70" s="18" t="str">
        <f t="shared" ref="J70:J101" si="19">IF(H70="","",H70-I70)</f>
        <v/>
      </c>
      <c r="K70" s="21"/>
      <c r="L70" s="22"/>
      <c r="M70" s="23" t="str">
        <f t="shared" ref="M70:M101" si="20">IF(K70="","",K70*(1-L70))</f>
        <v/>
      </c>
      <c r="N70" s="21"/>
      <c r="O70" s="23" t="str">
        <f t="shared" ref="O70:O101" si="21">IF(M70="","",M70-N70)</f>
        <v/>
      </c>
      <c r="P70" s="18" t="str">
        <f t="shared" ref="P70:P101" si="22">IF(K70="","",IF(O70&lt;=0,"مدفوع بالكامل",IF(N70=0,"لم يدفع","دفع جزئي")))</f>
        <v/>
      </c>
      <c r="Q70" s="18" t="str">
        <f t="shared" ref="Q70:Q101" si="23">IF(H70="","",IF(J70&lt;=0,"تم التسليم بالكامل",IF(I70=0,"لم يبدأ التنفيذ","تسليم جزئي")))</f>
        <v/>
      </c>
      <c r="R70" s="18"/>
    </row>
    <row r="71" spans="2:18">
      <c r="B71" s="18"/>
      <c r="C71" s="19">
        <f t="shared" ca="1" si="18"/>
        <v>0</v>
      </c>
      <c r="D71" s="18"/>
      <c r="E71" s="18"/>
      <c r="F71" s="18"/>
      <c r="G71" s="18"/>
      <c r="H71" s="20"/>
      <c r="I71" s="20"/>
      <c r="J71" s="18" t="str">
        <f t="shared" si="19"/>
        <v/>
      </c>
      <c r="K71" s="21"/>
      <c r="L71" s="22"/>
      <c r="M71" s="23" t="str">
        <f t="shared" si="20"/>
        <v/>
      </c>
      <c r="N71" s="21"/>
      <c r="O71" s="23" t="str">
        <f t="shared" si="21"/>
        <v/>
      </c>
      <c r="P71" s="18" t="str">
        <f t="shared" si="22"/>
        <v/>
      </c>
      <c r="Q71" s="18" t="str">
        <f t="shared" si="23"/>
        <v/>
      </c>
      <c r="R71" s="18"/>
    </row>
    <row r="72" spans="2:18">
      <c r="B72" s="18"/>
      <c r="C72" s="19">
        <f t="shared" ca="1" si="18"/>
        <v>0</v>
      </c>
      <c r="D72" s="18"/>
      <c r="E72" s="18"/>
      <c r="F72" s="18"/>
      <c r="G72" s="18"/>
      <c r="H72" s="20"/>
      <c r="I72" s="20"/>
      <c r="J72" s="18" t="str">
        <f t="shared" si="19"/>
        <v/>
      </c>
      <c r="K72" s="21"/>
      <c r="L72" s="22"/>
      <c r="M72" s="23" t="str">
        <f t="shared" si="20"/>
        <v/>
      </c>
      <c r="N72" s="21"/>
      <c r="O72" s="23" t="str">
        <f t="shared" si="21"/>
        <v/>
      </c>
      <c r="P72" s="18" t="str">
        <f t="shared" si="22"/>
        <v/>
      </c>
      <c r="Q72" s="18" t="str">
        <f t="shared" si="23"/>
        <v/>
      </c>
      <c r="R72" s="18"/>
    </row>
    <row r="73" spans="2:18">
      <c r="B73" s="18"/>
      <c r="C73" s="19">
        <f t="shared" ca="1" si="18"/>
        <v>0</v>
      </c>
      <c r="D73" s="18"/>
      <c r="E73" s="18"/>
      <c r="F73" s="18"/>
      <c r="G73" s="18"/>
      <c r="H73" s="20"/>
      <c r="I73" s="20"/>
      <c r="J73" s="18" t="str">
        <f t="shared" si="19"/>
        <v/>
      </c>
      <c r="K73" s="21"/>
      <c r="L73" s="22"/>
      <c r="M73" s="23" t="str">
        <f t="shared" si="20"/>
        <v/>
      </c>
      <c r="N73" s="21"/>
      <c r="O73" s="23" t="str">
        <f t="shared" si="21"/>
        <v/>
      </c>
      <c r="P73" s="18" t="str">
        <f t="shared" si="22"/>
        <v/>
      </c>
      <c r="Q73" s="18" t="str">
        <f t="shared" si="23"/>
        <v/>
      </c>
      <c r="R73" s="18"/>
    </row>
    <row r="74" spans="2:18">
      <c r="B74" s="18"/>
      <c r="C74" s="19">
        <f t="shared" ca="1" si="18"/>
        <v>0</v>
      </c>
      <c r="D74" s="18"/>
      <c r="E74" s="18"/>
      <c r="F74" s="18"/>
      <c r="G74" s="18"/>
      <c r="H74" s="20"/>
      <c r="I74" s="20"/>
      <c r="J74" s="18" t="str">
        <f t="shared" si="19"/>
        <v/>
      </c>
      <c r="K74" s="21"/>
      <c r="L74" s="22"/>
      <c r="M74" s="23" t="str">
        <f t="shared" si="20"/>
        <v/>
      </c>
      <c r="N74" s="21"/>
      <c r="O74" s="23" t="str">
        <f t="shared" si="21"/>
        <v/>
      </c>
      <c r="P74" s="18" t="str">
        <f t="shared" si="22"/>
        <v/>
      </c>
      <c r="Q74" s="18" t="str">
        <f t="shared" si="23"/>
        <v/>
      </c>
      <c r="R74" s="18"/>
    </row>
    <row r="75" spans="2:18">
      <c r="B75" s="18"/>
      <c r="C75" s="19">
        <f t="shared" ca="1" si="18"/>
        <v>0</v>
      </c>
      <c r="D75" s="18"/>
      <c r="E75" s="18"/>
      <c r="F75" s="18"/>
      <c r="G75" s="18"/>
      <c r="H75" s="20"/>
      <c r="I75" s="20"/>
      <c r="J75" s="18" t="str">
        <f t="shared" si="19"/>
        <v/>
      </c>
      <c r="K75" s="21"/>
      <c r="L75" s="22"/>
      <c r="M75" s="23" t="str">
        <f t="shared" si="20"/>
        <v/>
      </c>
      <c r="N75" s="21"/>
      <c r="O75" s="23" t="str">
        <f t="shared" si="21"/>
        <v/>
      </c>
      <c r="P75" s="18" t="str">
        <f t="shared" si="22"/>
        <v/>
      </c>
      <c r="Q75" s="18" t="str">
        <f t="shared" si="23"/>
        <v/>
      </c>
      <c r="R75" s="18"/>
    </row>
    <row r="76" spans="2:18">
      <c r="B76" s="18"/>
      <c r="C76" s="19">
        <f t="shared" ca="1" si="18"/>
        <v>0</v>
      </c>
      <c r="D76" s="18"/>
      <c r="E76" s="18"/>
      <c r="F76" s="18"/>
      <c r="G76" s="18"/>
      <c r="H76" s="20"/>
      <c r="I76" s="20"/>
      <c r="J76" s="18" t="str">
        <f t="shared" si="19"/>
        <v/>
      </c>
      <c r="K76" s="21"/>
      <c r="L76" s="22"/>
      <c r="M76" s="23" t="str">
        <f t="shared" si="20"/>
        <v/>
      </c>
      <c r="N76" s="21"/>
      <c r="O76" s="23" t="str">
        <f t="shared" si="21"/>
        <v/>
      </c>
      <c r="P76" s="18" t="str">
        <f t="shared" si="22"/>
        <v/>
      </c>
      <c r="Q76" s="18" t="str">
        <f t="shared" si="23"/>
        <v/>
      </c>
      <c r="R76" s="18"/>
    </row>
    <row r="77" spans="2:18">
      <c r="B77" s="18"/>
      <c r="C77" s="19">
        <f t="shared" ca="1" si="18"/>
        <v>0</v>
      </c>
      <c r="D77" s="18"/>
      <c r="E77" s="18"/>
      <c r="F77" s="18"/>
      <c r="G77" s="18"/>
      <c r="H77" s="20"/>
      <c r="I77" s="20"/>
      <c r="J77" s="18" t="str">
        <f t="shared" si="19"/>
        <v/>
      </c>
      <c r="K77" s="21"/>
      <c r="L77" s="22"/>
      <c r="M77" s="23" t="str">
        <f t="shared" si="20"/>
        <v/>
      </c>
      <c r="N77" s="21"/>
      <c r="O77" s="23" t="str">
        <f t="shared" si="21"/>
        <v/>
      </c>
      <c r="P77" s="18" t="str">
        <f t="shared" si="22"/>
        <v/>
      </c>
      <c r="Q77" s="18" t="str">
        <f t="shared" si="23"/>
        <v/>
      </c>
      <c r="R77" s="18"/>
    </row>
    <row r="78" spans="2:18">
      <c r="B78" s="18"/>
      <c r="C78" s="19">
        <f t="shared" ca="1" si="18"/>
        <v>0</v>
      </c>
      <c r="D78" s="18"/>
      <c r="E78" s="18"/>
      <c r="F78" s="18"/>
      <c r="G78" s="18"/>
      <c r="H78" s="20"/>
      <c r="I78" s="20"/>
      <c r="J78" s="18" t="str">
        <f t="shared" si="19"/>
        <v/>
      </c>
      <c r="K78" s="21"/>
      <c r="L78" s="22"/>
      <c r="M78" s="23" t="str">
        <f t="shared" si="20"/>
        <v/>
      </c>
      <c r="N78" s="21"/>
      <c r="O78" s="23" t="str">
        <f t="shared" si="21"/>
        <v/>
      </c>
      <c r="P78" s="18" t="str">
        <f t="shared" si="22"/>
        <v/>
      </c>
      <c r="Q78" s="18" t="str">
        <f t="shared" si="23"/>
        <v/>
      </c>
      <c r="R78" s="18"/>
    </row>
    <row r="79" spans="2:18">
      <c r="B79" s="18"/>
      <c r="C79" s="19">
        <f t="shared" ca="1" si="18"/>
        <v>0</v>
      </c>
      <c r="D79" s="18"/>
      <c r="E79" s="18"/>
      <c r="F79" s="18"/>
      <c r="G79" s="18"/>
      <c r="H79" s="20"/>
      <c r="I79" s="20"/>
      <c r="J79" s="18" t="str">
        <f t="shared" si="19"/>
        <v/>
      </c>
      <c r="K79" s="21"/>
      <c r="L79" s="22"/>
      <c r="M79" s="23" t="str">
        <f t="shared" si="20"/>
        <v/>
      </c>
      <c r="N79" s="21"/>
      <c r="O79" s="23" t="str">
        <f t="shared" si="21"/>
        <v/>
      </c>
      <c r="P79" s="18" t="str">
        <f t="shared" si="22"/>
        <v/>
      </c>
      <c r="Q79" s="18" t="str">
        <f t="shared" si="23"/>
        <v/>
      </c>
      <c r="R79" s="18"/>
    </row>
    <row r="80" spans="2:18">
      <c r="B80" s="18"/>
      <c r="C80" s="19">
        <f t="shared" ca="1" si="18"/>
        <v>0</v>
      </c>
      <c r="D80" s="18"/>
      <c r="E80" s="18"/>
      <c r="F80" s="18"/>
      <c r="G80" s="18"/>
      <c r="H80" s="20"/>
      <c r="I80" s="20"/>
      <c r="J80" s="18" t="str">
        <f t="shared" si="19"/>
        <v/>
      </c>
      <c r="K80" s="21"/>
      <c r="L80" s="22"/>
      <c r="M80" s="23" t="str">
        <f t="shared" si="20"/>
        <v/>
      </c>
      <c r="N80" s="21"/>
      <c r="O80" s="23" t="str">
        <f t="shared" si="21"/>
        <v/>
      </c>
      <c r="P80" s="18" t="str">
        <f t="shared" si="22"/>
        <v/>
      </c>
      <c r="Q80" s="18" t="str">
        <f t="shared" si="23"/>
        <v/>
      </c>
      <c r="R80" s="18"/>
    </row>
    <row r="81" spans="2:18">
      <c r="B81" s="18"/>
      <c r="C81" s="19">
        <f t="shared" ca="1" si="18"/>
        <v>0</v>
      </c>
      <c r="D81" s="18"/>
      <c r="E81" s="18"/>
      <c r="F81" s="18"/>
      <c r="G81" s="18"/>
      <c r="H81" s="20"/>
      <c r="I81" s="20"/>
      <c r="J81" s="18" t="str">
        <f t="shared" si="19"/>
        <v/>
      </c>
      <c r="K81" s="21"/>
      <c r="L81" s="22"/>
      <c r="M81" s="23" t="str">
        <f t="shared" si="20"/>
        <v/>
      </c>
      <c r="N81" s="21"/>
      <c r="O81" s="23" t="str">
        <f t="shared" si="21"/>
        <v/>
      </c>
      <c r="P81" s="18" t="str">
        <f t="shared" si="22"/>
        <v/>
      </c>
      <c r="Q81" s="18" t="str">
        <f t="shared" si="23"/>
        <v/>
      </c>
      <c r="R81" s="18"/>
    </row>
    <row r="82" spans="2:18">
      <c r="B82" s="18"/>
      <c r="C82" s="19">
        <f t="shared" ca="1" si="18"/>
        <v>0</v>
      </c>
      <c r="D82" s="18"/>
      <c r="E82" s="18"/>
      <c r="F82" s="18"/>
      <c r="G82" s="18"/>
      <c r="H82" s="20"/>
      <c r="I82" s="20"/>
      <c r="J82" s="18" t="str">
        <f t="shared" si="19"/>
        <v/>
      </c>
      <c r="K82" s="21"/>
      <c r="L82" s="22"/>
      <c r="M82" s="23" t="str">
        <f t="shared" si="20"/>
        <v/>
      </c>
      <c r="N82" s="21"/>
      <c r="O82" s="23" t="str">
        <f t="shared" si="21"/>
        <v/>
      </c>
      <c r="P82" s="18" t="str">
        <f t="shared" si="22"/>
        <v/>
      </c>
      <c r="Q82" s="18" t="str">
        <f t="shared" si="23"/>
        <v/>
      </c>
      <c r="R82" s="18"/>
    </row>
    <row r="83" spans="2:18">
      <c r="B83" s="18"/>
      <c r="C83" s="19">
        <f t="shared" ca="1" si="18"/>
        <v>0</v>
      </c>
      <c r="D83" s="18"/>
      <c r="E83" s="18"/>
      <c r="F83" s="18"/>
      <c r="G83" s="18"/>
      <c r="H83" s="20"/>
      <c r="I83" s="20"/>
      <c r="J83" s="18" t="str">
        <f t="shared" si="19"/>
        <v/>
      </c>
      <c r="K83" s="21"/>
      <c r="L83" s="22"/>
      <c r="M83" s="23" t="str">
        <f t="shared" si="20"/>
        <v/>
      </c>
      <c r="N83" s="21"/>
      <c r="O83" s="23" t="str">
        <f t="shared" si="21"/>
        <v/>
      </c>
      <c r="P83" s="18" t="str">
        <f t="shared" si="22"/>
        <v/>
      </c>
      <c r="Q83" s="18" t="str">
        <f t="shared" si="23"/>
        <v/>
      </c>
      <c r="R83" s="18"/>
    </row>
    <row r="84" spans="2:18">
      <c r="B84" s="18"/>
      <c r="C84" s="19">
        <f t="shared" ca="1" si="18"/>
        <v>0</v>
      </c>
      <c r="D84" s="18"/>
      <c r="E84" s="18"/>
      <c r="F84" s="18"/>
      <c r="G84" s="18"/>
      <c r="H84" s="20"/>
      <c r="I84" s="20"/>
      <c r="J84" s="18" t="str">
        <f t="shared" si="19"/>
        <v/>
      </c>
      <c r="K84" s="21"/>
      <c r="L84" s="22"/>
      <c r="M84" s="23" t="str">
        <f t="shared" si="20"/>
        <v/>
      </c>
      <c r="N84" s="21"/>
      <c r="O84" s="23" t="str">
        <f t="shared" si="21"/>
        <v/>
      </c>
      <c r="P84" s="18" t="str">
        <f t="shared" si="22"/>
        <v/>
      </c>
      <c r="Q84" s="18" t="str">
        <f t="shared" si="23"/>
        <v/>
      </c>
      <c r="R84" s="18"/>
    </row>
    <row r="85" spans="2:18">
      <c r="B85" s="18"/>
      <c r="C85" s="19">
        <f t="shared" ca="1" si="18"/>
        <v>0</v>
      </c>
      <c r="D85" s="18"/>
      <c r="E85" s="18"/>
      <c r="F85" s="18"/>
      <c r="G85" s="18"/>
      <c r="H85" s="20"/>
      <c r="I85" s="20"/>
      <c r="J85" s="18" t="str">
        <f t="shared" si="19"/>
        <v/>
      </c>
      <c r="K85" s="21"/>
      <c r="L85" s="22"/>
      <c r="M85" s="23" t="str">
        <f t="shared" si="20"/>
        <v/>
      </c>
      <c r="N85" s="21"/>
      <c r="O85" s="23" t="str">
        <f t="shared" si="21"/>
        <v/>
      </c>
      <c r="P85" s="18" t="str">
        <f t="shared" si="22"/>
        <v/>
      </c>
      <c r="Q85" s="18" t="str">
        <f t="shared" si="23"/>
        <v/>
      </c>
      <c r="R85" s="18"/>
    </row>
    <row r="86" spans="2:18">
      <c r="B86" s="18"/>
      <c r="C86" s="19">
        <f t="shared" ca="1" si="18"/>
        <v>0</v>
      </c>
      <c r="D86" s="18"/>
      <c r="E86" s="18"/>
      <c r="F86" s="18"/>
      <c r="G86" s="18"/>
      <c r="H86" s="20"/>
      <c r="I86" s="20"/>
      <c r="J86" s="18" t="str">
        <f t="shared" si="19"/>
        <v/>
      </c>
      <c r="K86" s="21"/>
      <c r="L86" s="22"/>
      <c r="M86" s="23" t="str">
        <f t="shared" si="20"/>
        <v/>
      </c>
      <c r="N86" s="21"/>
      <c r="O86" s="23" t="str">
        <f t="shared" si="21"/>
        <v/>
      </c>
      <c r="P86" s="18" t="str">
        <f t="shared" si="22"/>
        <v/>
      </c>
      <c r="Q86" s="18" t="str">
        <f t="shared" si="23"/>
        <v/>
      </c>
      <c r="R86" s="18"/>
    </row>
    <row r="87" spans="2:18">
      <c r="B87" s="18"/>
      <c r="C87" s="19">
        <f t="shared" ca="1" si="18"/>
        <v>0</v>
      </c>
      <c r="D87" s="18"/>
      <c r="E87" s="18"/>
      <c r="F87" s="18"/>
      <c r="G87" s="18"/>
      <c r="H87" s="20"/>
      <c r="I87" s="20"/>
      <c r="J87" s="18" t="str">
        <f t="shared" si="19"/>
        <v/>
      </c>
      <c r="K87" s="21"/>
      <c r="L87" s="22"/>
      <c r="M87" s="23" t="str">
        <f t="shared" si="20"/>
        <v/>
      </c>
      <c r="N87" s="21"/>
      <c r="O87" s="23" t="str">
        <f t="shared" si="21"/>
        <v/>
      </c>
      <c r="P87" s="18" t="str">
        <f t="shared" si="22"/>
        <v/>
      </c>
      <c r="Q87" s="18" t="str">
        <f t="shared" si="23"/>
        <v/>
      </c>
      <c r="R87" s="18"/>
    </row>
    <row r="88" spans="2:18">
      <c r="B88" s="18"/>
      <c r="C88" s="19">
        <f t="shared" ca="1" si="18"/>
        <v>0</v>
      </c>
      <c r="D88" s="18"/>
      <c r="E88" s="18"/>
      <c r="F88" s="18"/>
      <c r="G88" s="18"/>
      <c r="H88" s="20"/>
      <c r="I88" s="20"/>
      <c r="J88" s="18" t="str">
        <f t="shared" si="19"/>
        <v/>
      </c>
      <c r="K88" s="21"/>
      <c r="L88" s="22"/>
      <c r="M88" s="23" t="str">
        <f t="shared" si="20"/>
        <v/>
      </c>
      <c r="N88" s="21"/>
      <c r="O88" s="23" t="str">
        <f t="shared" si="21"/>
        <v/>
      </c>
      <c r="P88" s="18" t="str">
        <f t="shared" si="22"/>
        <v/>
      </c>
      <c r="Q88" s="18" t="str">
        <f t="shared" si="23"/>
        <v/>
      </c>
      <c r="R88" s="18"/>
    </row>
    <row r="89" spans="2:18">
      <c r="B89" s="18"/>
      <c r="C89" s="19">
        <f t="shared" ca="1" si="18"/>
        <v>0</v>
      </c>
      <c r="D89" s="18"/>
      <c r="E89" s="18"/>
      <c r="F89" s="18"/>
      <c r="G89" s="18"/>
      <c r="H89" s="20"/>
      <c r="I89" s="20"/>
      <c r="J89" s="18" t="str">
        <f t="shared" si="19"/>
        <v/>
      </c>
      <c r="K89" s="21"/>
      <c r="L89" s="22"/>
      <c r="M89" s="23" t="str">
        <f t="shared" si="20"/>
        <v/>
      </c>
      <c r="N89" s="21"/>
      <c r="O89" s="23" t="str">
        <f t="shared" si="21"/>
        <v/>
      </c>
      <c r="P89" s="18" t="str">
        <f t="shared" si="22"/>
        <v/>
      </c>
      <c r="Q89" s="18" t="str">
        <f t="shared" si="23"/>
        <v/>
      </c>
      <c r="R89" s="18"/>
    </row>
    <row r="90" spans="2:18">
      <c r="B90" s="18"/>
      <c r="C90" s="19">
        <f t="shared" ca="1" si="18"/>
        <v>0</v>
      </c>
      <c r="D90" s="18"/>
      <c r="E90" s="18"/>
      <c r="F90" s="18"/>
      <c r="G90" s="18"/>
      <c r="H90" s="20"/>
      <c r="I90" s="20"/>
      <c r="J90" s="18" t="str">
        <f t="shared" si="19"/>
        <v/>
      </c>
      <c r="K90" s="21"/>
      <c r="L90" s="22"/>
      <c r="M90" s="23" t="str">
        <f t="shared" si="20"/>
        <v/>
      </c>
      <c r="N90" s="21"/>
      <c r="O90" s="23" t="str">
        <f t="shared" si="21"/>
        <v/>
      </c>
      <c r="P90" s="18" t="str">
        <f t="shared" si="22"/>
        <v/>
      </c>
      <c r="Q90" s="18" t="str">
        <f t="shared" si="23"/>
        <v/>
      </c>
      <c r="R90" s="18"/>
    </row>
    <row r="91" spans="2:18">
      <c r="B91" s="18"/>
      <c r="C91" s="19">
        <f t="shared" ca="1" si="18"/>
        <v>0</v>
      </c>
      <c r="D91" s="18"/>
      <c r="E91" s="18"/>
      <c r="F91" s="18"/>
      <c r="G91" s="18"/>
      <c r="H91" s="20"/>
      <c r="I91" s="20"/>
      <c r="J91" s="18" t="str">
        <f t="shared" si="19"/>
        <v/>
      </c>
      <c r="K91" s="21"/>
      <c r="L91" s="22"/>
      <c r="M91" s="23" t="str">
        <f t="shared" si="20"/>
        <v/>
      </c>
      <c r="N91" s="21"/>
      <c r="O91" s="23" t="str">
        <f t="shared" si="21"/>
        <v/>
      </c>
      <c r="P91" s="18" t="str">
        <f t="shared" si="22"/>
        <v/>
      </c>
      <c r="Q91" s="18" t="str">
        <f t="shared" si="23"/>
        <v/>
      </c>
      <c r="R91" s="18"/>
    </row>
    <row r="92" spans="2:18">
      <c r="B92" s="18"/>
      <c r="C92" s="19">
        <f t="shared" ca="1" si="18"/>
        <v>0</v>
      </c>
      <c r="D92" s="18"/>
      <c r="E92" s="18"/>
      <c r="F92" s="18"/>
      <c r="G92" s="18"/>
      <c r="H92" s="20"/>
      <c r="I92" s="20"/>
      <c r="J92" s="18" t="str">
        <f t="shared" si="19"/>
        <v/>
      </c>
      <c r="K92" s="21"/>
      <c r="L92" s="22"/>
      <c r="M92" s="23" t="str">
        <f t="shared" si="20"/>
        <v/>
      </c>
      <c r="N92" s="21"/>
      <c r="O92" s="23" t="str">
        <f t="shared" si="21"/>
        <v/>
      </c>
      <c r="P92" s="18" t="str">
        <f t="shared" si="22"/>
        <v/>
      </c>
      <c r="Q92" s="18" t="str">
        <f t="shared" si="23"/>
        <v/>
      </c>
      <c r="R92" s="18"/>
    </row>
    <row r="93" spans="2:18">
      <c r="B93" s="18"/>
      <c r="C93" s="19">
        <f t="shared" ca="1" si="18"/>
        <v>0</v>
      </c>
      <c r="D93" s="18"/>
      <c r="E93" s="18"/>
      <c r="F93" s="18"/>
      <c r="G93" s="18"/>
      <c r="H93" s="20"/>
      <c r="I93" s="20"/>
      <c r="J93" s="18" t="str">
        <f t="shared" si="19"/>
        <v/>
      </c>
      <c r="K93" s="21"/>
      <c r="L93" s="22"/>
      <c r="M93" s="23" t="str">
        <f t="shared" si="20"/>
        <v/>
      </c>
      <c r="N93" s="21"/>
      <c r="O93" s="23" t="str">
        <f t="shared" si="21"/>
        <v/>
      </c>
      <c r="P93" s="18" t="str">
        <f t="shared" si="22"/>
        <v/>
      </c>
      <c r="Q93" s="18" t="str">
        <f t="shared" si="23"/>
        <v/>
      </c>
      <c r="R93" s="18"/>
    </row>
    <row r="94" spans="2:18">
      <c r="B94" s="18"/>
      <c r="C94" s="19">
        <f t="shared" ca="1" si="18"/>
        <v>0</v>
      </c>
      <c r="D94" s="18"/>
      <c r="E94" s="18"/>
      <c r="F94" s="18"/>
      <c r="G94" s="18"/>
      <c r="H94" s="20"/>
      <c r="I94" s="20"/>
      <c r="J94" s="18" t="str">
        <f t="shared" si="19"/>
        <v/>
      </c>
      <c r="K94" s="21"/>
      <c r="L94" s="22"/>
      <c r="M94" s="23" t="str">
        <f t="shared" si="20"/>
        <v/>
      </c>
      <c r="N94" s="21"/>
      <c r="O94" s="23" t="str">
        <f t="shared" si="21"/>
        <v/>
      </c>
      <c r="P94" s="18" t="str">
        <f t="shared" si="22"/>
        <v/>
      </c>
      <c r="Q94" s="18" t="str">
        <f t="shared" si="23"/>
        <v/>
      </c>
      <c r="R94" s="18"/>
    </row>
    <row r="95" spans="2:18">
      <c r="B95" s="18"/>
      <c r="C95" s="19">
        <f t="shared" ca="1" si="18"/>
        <v>0</v>
      </c>
      <c r="D95" s="18"/>
      <c r="E95" s="18"/>
      <c r="F95" s="18"/>
      <c r="G95" s="18"/>
      <c r="H95" s="20"/>
      <c r="I95" s="20"/>
      <c r="J95" s="18" t="str">
        <f t="shared" si="19"/>
        <v/>
      </c>
      <c r="K95" s="21"/>
      <c r="L95" s="22"/>
      <c r="M95" s="23" t="str">
        <f t="shared" si="20"/>
        <v/>
      </c>
      <c r="N95" s="21"/>
      <c r="O95" s="23" t="str">
        <f t="shared" si="21"/>
        <v/>
      </c>
      <c r="P95" s="18" t="str">
        <f t="shared" si="22"/>
        <v/>
      </c>
      <c r="Q95" s="18" t="str">
        <f t="shared" si="23"/>
        <v/>
      </c>
      <c r="R95" s="18"/>
    </row>
    <row r="96" spans="2:18">
      <c r="B96" s="18"/>
      <c r="C96" s="19">
        <f t="shared" ca="1" si="18"/>
        <v>0</v>
      </c>
      <c r="D96" s="18"/>
      <c r="E96" s="18"/>
      <c r="F96" s="18"/>
      <c r="G96" s="18"/>
      <c r="H96" s="20"/>
      <c r="I96" s="20"/>
      <c r="J96" s="18" t="str">
        <f t="shared" si="19"/>
        <v/>
      </c>
      <c r="K96" s="21"/>
      <c r="L96" s="22"/>
      <c r="M96" s="23" t="str">
        <f t="shared" si="20"/>
        <v/>
      </c>
      <c r="N96" s="21"/>
      <c r="O96" s="23" t="str">
        <f t="shared" si="21"/>
        <v/>
      </c>
      <c r="P96" s="18" t="str">
        <f t="shared" si="22"/>
        <v/>
      </c>
      <c r="Q96" s="18" t="str">
        <f t="shared" si="23"/>
        <v/>
      </c>
      <c r="R96" s="18"/>
    </row>
    <row r="97" spans="2:18">
      <c r="B97" s="18"/>
      <c r="C97" s="19">
        <f t="shared" ca="1" si="18"/>
        <v>0</v>
      </c>
      <c r="D97" s="18"/>
      <c r="E97" s="18"/>
      <c r="F97" s="18"/>
      <c r="G97" s="18"/>
      <c r="H97" s="20"/>
      <c r="I97" s="20"/>
      <c r="J97" s="18" t="str">
        <f t="shared" si="19"/>
        <v/>
      </c>
      <c r="K97" s="21"/>
      <c r="L97" s="22"/>
      <c r="M97" s="23" t="str">
        <f t="shared" si="20"/>
        <v/>
      </c>
      <c r="N97" s="21"/>
      <c r="O97" s="23" t="str">
        <f t="shared" si="21"/>
        <v/>
      </c>
      <c r="P97" s="18" t="str">
        <f t="shared" si="22"/>
        <v/>
      </c>
      <c r="Q97" s="18" t="str">
        <f t="shared" si="23"/>
        <v/>
      </c>
      <c r="R97" s="18"/>
    </row>
    <row r="98" spans="2:18">
      <c r="B98" s="18"/>
      <c r="C98" s="19">
        <f t="shared" ca="1" si="18"/>
        <v>0</v>
      </c>
      <c r="D98" s="18"/>
      <c r="E98" s="18"/>
      <c r="F98" s="18"/>
      <c r="G98" s="18"/>
      <c r="H98" s="20"/>
      <c r="I98" s="20"/>
      <c r="J98" s="18" t="str">
        <f t="shared" si="19"/>
        <v/>
      </c>
      <c r="K98" s="21"/>
      <c r="L98" s="22"/>
      <c r="M98" s="23" t="str">
        <f t="shared" si="20"/>
        <v/>
      </c>
      <c r="N98" s="21"/>
      <c r="O98" s="23" t="str">
        <f t="shared" si="21"/>
        <v/>
      </c>
      <c r="P98" s="18" t="str">
        <f t="shared" si="22"/>
        <v/>
      </c>
      <c r="Q98" s="18" t="str">
        <f t="shared" si="23"/>
        <v/>
      </c>
      <c r="R98" s="18"/>
    </row>
    <row r="99" spans="2:18">
      <c r="B99" s="18"/>
      <c r="C99" s="19">
        <f t="shared" ca="1" si="18"/>
        <v>0</v>
      </c>
      <c r="D99" s="18"/>
      <c r="E99" s="18"/>
      <c r="F99" s="18"/>
      <c r="G99" s="18"/>
      <c r="H99" s="20"/>
      <c r="I99" s="20"/>
      <c r="J99" s="18" t="str">
        <f t="shared" si="19"/>
        <v/>
      </c>
      <c r="K99" s="21"/>
      <c r="L99" s="22"/>
      <c r="M99" s="23" t="str">
        <f t="shared" si="20"/>
        <v/>
      </c>
      <c r="N99" s="21"/>
      <c r="O99" s="23" t="str">
        <f t="shared" si="21"/>
        <v/>
      </c>
      <c r="P99" s="18" t="str">
        <f t="shared" si="22"/>
        <v/>
      </c>
      <c r="Q99" s="18" t="str">
        <f t="shared" si="23"/>
        <v/>
      </c>
      <c r="R99" s="18"/>
    </row>
    <row r="100" spans="2:18">
      <c r="B100" s="18"/>
      <c r="C100" s="19">
        <f t="shared" ca="1" si="18"/>
        <v>0</v>
      </c>
      <c r="D100" s="18"/>
      <c r="E100" s="18"/>
      <c r="F100" s="18"/>
      <c r="G100" s="18"/>
      <c r="H100" s="20"/>
      <c r="I100" s="20"/>
      <c r="J100" s="18" t="str">
        <f t="shared" si="19"/>
        <v/>
      </c>
      <c r="K100" s="21"/>
      <c r="L100" s="22"/>
      <c r="M100" s="23" t="str">
        <f t="shared" si="20"/>
        <v/>
      </c>
      <c r="N100" s="21"/>
      <c r="O100" s="23" t="str">
        <f t="shared" si="21"/>
        <v/>
      </c>
      <c r="P100" s="18" t="str">
        <f t="shared" si="22"/>
        <v/>
      </c>
      <c r="Q100" s="18" t="str">
        <f t="shared" si="23"/>
        <v/>
      </c>
      <c r="R100" s="18"/>
    </row>
    <row r="101" spans="2:18">
      <c r="B101" s="18"/>
      <c r="C101" s="19">
        <f t="shared" ca="1" si="18"/>
        <v>0</v>
      </c>
      <c r="D101" s="18"/>
      <c r="E101" s="18"/>
      <c r="F101" s="18"/>
      <c r="G101" s="18"/>
      <c r="H101" s="20"/>
      <c r="I101" s="20"/>
      <c r="J101" s="18" t="str">
        <f t="shared" si="19"/>
        <v/>
      </c>
      <c r="K101" s="21"/>
      <c r="L101" s="22"/>
      <c r="M101" s="23" t="str">
        <f t="shared" si="20"/>
        <v/>
      </c>
      <c r="N101" s="21"/>
      <c r="O101" s="23" t="str">
        <f t="shared" si="21"/>
        <v/>
      </c>
      <c r="P101" s="18" t="str">
        <f t="shared" si="22"/>
        <v/>
      </c>
      <c r="Q101" s="18" t="str">
        <f t="shared" si="23"/>
        <v/>
      </c>
      <c r="R101" s="18"/>
    </row>
    <row r="102" spans="2:18">
      <c r="B102" s="18"/>
      <c r="C102" s="19">
        <f t="shared" ref="C102:C133" ca="1" si="24">IF(D102="",0,IF(C102=0,TODAY(),C102))</f>
        <v>0</v>
      </c>
      <c r="D102" s="18"/>
      <c r="E102" s="18"/>
      <c r="F102" s="18"/>
      <c r="G102" s="18"/>
      <c r="H102" s="20"/>
      <c r="I102" s="20"/>
      <c r="J102" s="18" t="str">
        <f t="shared" ref="J102:J133" si="25">IF(H102="","",H102-I102)</f>
        <v/>
      </c>
      <c r="K102" s="21"/>
      <c r="L102" s="22"/>
      <c r="M102" s="23" t="str">
        <f t="shared" ref="M102:M133" si="26">IF(K102="","",K102*(1-L102))</f>
        <v/>
      </c>
      <c r="N102" s="21"/>
      <c r="O102" s="23" t="str">
        <f t="shared" ref="O102:O133" si="27">IF(M102="","",M102-N102)</f>
        <v/>
      </c>
      <c r="P102" s="18" t="str">
        <f t="shared" ref="P102:P133" si="28">IF(K102="","",IF(O102&lt;=0,"مدفوع بالكامل",IF(N102=0,"لم يدفع","دفع جزئي")))</f>
        <v/>
      </c>
      <c r="Q102" s="18" t="str">
        <f t="shared" ref="Q102:Q133" si="29">IF(H102="","",IF(J102&lt;=0,"تم التسليم بالكامل",IF(I102=0,"لم يبدأ التنفيذ","تسليم جزئي")))</f>
        <v/>
      </c>
      <c r="R102" s="18"/>
    </row>
    <row r="103" spans="2:18">
      <c r="B103" s="18"/>
      <c r="C103" s="19">
        <f t="shared" ca="1" si="24"/>
        <v>0</v>
      </c>
      <c r="D103" s="18"/>
      <c r="E103" s="18"/>
      <c r="F103" s="18"/>
      <c r="G103" s="18"/>
      <c r="H103" s="20"/>
      <c r="I103" s="20"/>
      <c r="J103" s="18" t="str">
        <f t="shared" si="25"/>
        <v/>
      </c>
      <c r="K103" s="21"/>
      <c r="L103" s="22"/>
      <c r="M103" s="23" t="str">
        <f t="shared" si="26"/>
        <v/>
      </c>
      <c r="N103" s="21"/>
      <c r="O103" s="23" t="str">
        <f t="shared" si="27"/>
        <v/>
      </c>
      <c r="P103" s="18" t="str">
        <f t="shared" si="28"/>
        <v/>
      </c>
      <c r="Q103" s="18" t="str">
        <f t="shared" si="29"/>
        <v/>
      </c>
      <c r="R103" s="18"/>
    </row>
    <row r="104" spans="2:18">
      <c r="B104" s="18"/>
      <c r="C104" s="19">
        <f t="shared" ca="1" si="24"/>
        <v>0</v>
      </c>
      <c r="D104" s="18"/>
      <c r="E104" s="18"/>
      <c r="F104" s="18"/>
      <c r="G104" s="18"/>
      <c r="H104" s="20"/>
      <c r="I104" s="20"/>
      <c r="J104" s="18" t="str">
        <f t="shared" si="25"/>
        <v/>
      </c>
      <c r="K104" s="21"/>
      <c r="L104" s="22"/>
      <c r="M104" s="23" t="str">
        <f t="shared" si="26"/>
        <v/>
      </c>
      <c r="N104" s="21"/>
      <c r="O104" s="23" t="str">
        <f t="shared" si="27"/>
        <v/>
      </c>
      <c r="P104" s="18" t="str">
        <f t="shared" si="28"/>
        <v/>
      </c>
      <c r="Q104" s="18" t="str">
        <f t="shared" si="29"/>
        <v/>
      </c>
      <c r="R104" s="18"/>
    </row>
    <row r="105" spans="2:18">
      <c r="B105" s="18"/>
      <c r="C105" s="19">
        <f t="shared" ca="1" si="24"/>
        <v>0</v>
      </c>
      <c r="D105" s="18"/>
      <c r="E105" s="18"/>
      <c r="F105" s="18"/>
      <c r="G105" s="18"/>
      <c r="H105" s="20"/>
      <c r="I105" s="20"/>
      <c r="J105" s="18" t="str">
        <f t="shared" si="25"/>
        <v/>
      </c>
      <c r="K105" s="21"/>
      <c r="L105" s="22"/>
      <c r="M105" s="23" t="str">
        <f t="shared" si="26"/>
        <v/>
      </c>
      <c r="N105" s="21"/>
      <c r="O105" s="23" t="str">
        <f t="shared" si="27"/>
        <v/>
      </c>
      <c r="P105" s="18" t="str">
        <f t="shared" si="28"/>
        <v/>
      </c>
      <c r="Q105" s="18" t="str">
        <f t="shared" si="29"/>
        <v/>
      </c>
      <c r="R105" s="18"/>
    </row>
    <row r="106" spans="2:18">
      <c r="B106" s="18"/>
      <c r="C106" s="19">
        <f t="shared" ca="1" si="24"/>
        <v>0</v>
      </c>
      <c r="D106" s="18"/>
      <c r="E106" s="18"/>
      <c r="F106" s="18"/>
      <c r="G106" s="18"/>
      <c r="H106" s="20"/>
      <c r="I106" s="20"/>
      <c r="J106" s="18" t="str">
        <f t="shared" si="25"/>
        <v/>
      </c>
      <c r="K106" s="21"/>
      <c r="L106" s="22"/>
      <c r="M106" s="23" t="str">
        <f t="shared" si="26"/>
        <v/>
      </c>
      <c r="N106" s="21"/>
      <c r="O106" s="23" t="str">
        <f t="shared" si="27"/>
        <v/>
      </c>
      <c r="P106" s="18" t="str">
        <f t="shared" si="28"/>
        <v/>
      </c>
      <c r="Q106" s="18" t="str">
        <f t="shared" si="29"/>
        <v/>
      </c>
      <c r="R106" s="18"/>
    </row>
    <row r="107" spans="2:18">
      <c r="B107" s="18"/>
      <c r="C107" s="19">
        <f t="shared" ca="1" si="24"/>
        <v>0</v>
      </c>
      <c r="D107" s="18"/>
      <c r="E107" s="18"/>
      <c r="F107" s="18"/>
      <c r="G107" s="18"/>
      <c r="H107" s="20"/>
      <c r="I107" s="20"/>
      <c r="J107" s="18" t="str">
        <f t="shared" si="25"/>
        <v/>
      </c>
      <c r="K107" s="21"/>
      <c r="L107" s="22"/>
      <c r="M107" s="23" t="str">
        <f t="shared" si="26"/>
        <v/>
      </c>
      <c r="N107" s="21"/>
      <c r="O107" s="23" t="str">
        <f t="shared" si="27"/>
        <v/>
      </c>
      <c r="P107" s="18" t="str">
        <f t="shared" si="28"/>
        <v/>
      </c>
      <c r="Q107" s="18" t="str">
        <f t="shared" si="29"/>
        <v/>
      </c>
      <c r="R107" s="18"/>
    </row>
    <row r="108" spans="2:18">
      <c r="B108" s="18"/>
      <c r="C108" s="19">
        <f t="shared" ca="1" si="24"/>
        <v>0</v>
      </c>
      <c r="D108" s="18"/>
      <c r="E108" s="18"/>
      <c r="F108" s="18"/>
      <c r="G108" s="18"/>
      <c r="H108" s="20"/>
      <c r="I108" s="20"/>
      <c r="J108" s="18" t="str">
        <f t="shared" si="25"/>
        <v/>
      </c>
      <c r="K108" s="21"/>
      <c r="L108" s="22"/>
      <c r="M108" s="23" t="str">
        <f t="shared" si="26"/>
        <v/>
      </c>
      <c r="N108" s="21"/>
      <c r="O108" s="23" t="str">
        <f t="shared" si="27"/>
        <v/>
      </c>
      <c r="P108" s="18" t="str">
        <f t="shared" si="28"/>
        <v/>
      </c>
      <c r="Q108" s="18" t="str">
        <f t="shared" si="29"/>
        <v/>
      </c>
      <c r="R108" s="18"/>
    </row>
    <row r="109" spans="2:18">
      <c r="B109" s="18"/>
      <c r="C109" s="19">
        <f t="shared" ca="1" si="24"/>
        <v>0</v>
      </c>
      <c r="D109" s="18"/>
      <c r="E109" s="18"/>
      <c r="F109" s="18"/>
      <c r="G109" s="18"/>
      <c r="H109" s="20"/>
      <c r="I109" s="20"/>
      <c r="J109" s="18" t="str">
        <f t="shared" si="25"/>
        <v/>
      </c>
      <c r="K109" s="21"/>
      <c r="L109" s="22"/>
      <c r="M109" s="23" t="str">
        <f t="shared" si="26"/>
        <v/>
      </c>
      <c r="N109" s="21"/>
      <c r="O109" s="23" t="str">
        <f t="shared" si="27"/>
        <v/>
      </c>
      <c r="P109" s="18" t="str">
        <f t="shared" si="28"/>
        <v/>
      </c>
      <c r="Q109" s="18" t="str">
        <f t="shared" si="29"/>
        <v/>
      </c>
      <c r="R109" s="18"/>
    </row>
    <row r="110" spans="2:18">
      <c r="B110" s="18"/>
      <c r="C110" s="19">
        <f t="shared" ca="1" si="24"/>
        <v>0</v>
      </c>
      <c r="D110" s="18"/>
      <c r="E110" s="18"/>
      <c r="F110" s="18"/>
      <c r="G110" s="18"/>
      <c r="H110" s="20"/>
      <c r="I110" s="20"/>
      <c r="J110" s="18" t="str">
        <f t="shared" si="25"/>
        <v/>
      </c>
      <c r="K110" s="21"/>
      <c r="L110" s="22"/>
      <c r="M110" s="23" t="str">
        <f t="shared" si="26"/>
        <v/>
      </c>
      <c r="N110" s="21"/>
      <c r="O110" s="23" t="str">
        <f t="shared" si="27"/>
        <v/>
      </c>
      <c r="P110" s="18" t="str">
        <f t="shared" si="28"/>
        <v/>
      </c>
      <c r="Q110" s="18" t="str">
        <f t="shared" si="29"/>
        <v/>
      </c>
      <c r="R110" s="18"/>
    </row>
    <row r="111" spans="2:18">
      <c r="B111" s="18"/>
      <c r="C111" s="19">
        <f t="shared" ca="1" si="24"/>
        <v>0</v>
      </c>
      <c r="D111" s="18"/>
      <c r="E111" s="18"/>
      <c r="F111" s="18"/>
      <c r="G111" s="18"/>
      <c r="H111" s="20"/>
      <c r="I111" s="20"/>
      <c r="J111" s="18" t="str">
        <f t="shared" si="25"/>
        <v/>
      </c>
      <c r="K111" s="21"/>
      <c r="L111" s="22"/>
      <c r="M111" s="23" t="str">
        <f t="shared" si="26"/>
        <v/>
      </c>
      <c r="N111" s="21"/>
      <c r="O111" s="23" t="str">
        <f t="shared" si="27"/>
        <v/>
      </c>
      <c r="P111" s="18" t="str">
        <f t="shared" si="28"/>
        <v/>
      </c>
      <c r="Q111" s="18" t="str">
        <f t="shared" si="29"/>
        <v/>
      </c>
      <c r="R111" s="18"/>
    </row>
    <row r="112" spans="2:18">
      <c r="B112" s="18"/>
      <c r="C112" s="19">
        <f t="shared" ca="1" si="24"/>
        <v>0</v>
      </c>
      <c r="D112" s="18"/>
      <c r="E112" s="18"/>
      <c r="F112" s="18"/>
      <c r="G112" s="18"/>
      <c r="H112" s="20"/>
      <c r="I112" s="20"/>
      <c r="J112" s="18" t="str">
        <f t="shared" si="25"/>
        <v/>
      </c>
      <c r="K112" s="21"/>
      <c r="L112" s="22"/>
      <c r="M112" s="23" t="str">
        <f t="shared" si="26"/>
        <v/>
      </c>
      <c r="N112" s="21"/>
      <c r="O112" s="23" t="str">
        <f t="shared" si="27"/>
        <v/>
      </c>
      <c r="P112" s="18" t="str">
        <f t="shared" si="28"/>
        <v/>
      </c>
      <c r="Q112" s="18" t="str">
        <f t="shared" si="29"/>
        <v/>
      </c>
      <c r="R112" s="18"/>
    </row>
    <row r="113" spans="2:18">
      <c r="B113" s="18"/>
      <c r="C113" s="19">
        <f t="shared" ca="1" si="24"/>
        <v>0</v>
      </c>
      <c r="D113" s="18"/>
      <c r="E113" s="18"/>
      <c r="F113" s="18"/>
      <c r="G113" s="18"/>
      <c r="H113" s="20"/>
      <c r="I113" s="20"/>
      <c r="J113" s="18" t="str">
        <f t="shared" si="25"/>
        <v/>
      </c>
      <c r="K113" s="21"/>
      <c r="L113" s="22"/>
      <c r="M113" s="23" t="str">
        <f t="shared" si="26"/>
        <v/>
      </c>
      <c r="N113" s="21"/>
      <c r="O113" s="23" t="str">
        <f t="shared" si="27"/>
        <v/>
      </c>
      <c r="P113" s="18" t="str">
        <f t="shared" si="28"/>
        <v/>
      </c>
      <c r="Q113" s="18" t="str">
        <f t="shared" si="29"/>
        <v/>
      </c>
      <c r="R113" s="18"/>
    </row>
    <row r="114" spans="2:18">
      <c r="B114" s="18"/>
      <c r="C114" s="19">
        <f t="shared" ca="1" si="24"/>
        <v>0</v>
      </c>
      <c r="D114" s="18"/>
      <c r="E114" s="18"/>
      <c r="F114" s="18"/>
      <c r="G114" s="18"/>
      <c r="H114" s="20"/>
      <c r="I114" s="20"/>
      <c r="J114" s="18" t="str">
        <f t="shared" si="25"/>
        <v/>
      </c>
      <c r="K114" s="21"/>
      <c r="L114" s="22"/>
      <c r="M114" s="23" t="str">
        <f t="shared" si="26"/>
        <v/>
      </c>
      <c r="N114" s="21"/>
      <c r="O114" s="23" t="str">
        <f t="shared" si="27"/>
        <v/>
      </c>
      <c r="P114" s="18" t="str">
        <f t="shared" si="28"/>
        <v/>
      </c>
      <c r="Q114" s="18" t="str">
        <f t="shared" si="29"/>
        <v/>
      </c>
      <c r="R114" s="18"/>
    </row>
    <row r="115" spans="2:18">
      <c r="B115" s="18"/>
      <c r="C115" s="19">
        <f t="shared" ca="1" si="24"/>
        <v>0</v>
      </c>
      <c r="D115" s="18"/>
      <c r="E115" s="18"/>
      <c r="F115" s="18"/>
      <c r="G115" s="18"/>
      <c r="H115" s="20"/>
      <c r="I115" s="20"/>
      <c r="J115" s="18" t="str">
        <f t="shared" si="25"/>
        <v/>
      </c>
      <c r="K115" s="21"/>
      <c r="L115" s="22"/>
      <c r="M115" s="23" t="str">
        <f t="shared" si="26"/>
        <v/>
      </c>
      <c r="N115" s="21"/>
      <c r="O115" s="23" t="str">
        <f t="shared" si="27"/>
        <v/>
      </c>
      <c r="P115" s="18" t="str">
        <f t="shared" si="28"/>
        <v/>
      </c>
      <c r="Q115" s="18" t="str">
        <f t="shared" si="29"/>
        <v/>
      </c>
      <c r="R115" s="18"/>
    </row>
    <row r="116" spans="2:18">
      <c r="B116" s="18"/>
      <c r="C116" s="19">
        <f t="shared" ca="1" si="24"/>
        <v>0</v>
      </c>
      <c r="D116" s="18"/>
      <c r="E116" s="18"/>
      <c r="F116" s="18"/>
      <c r="G116" s="18"/>
      <c r="H116" s="20"/>
      <c r="I116" s="20"/>
      <c r="J116" s="18" t="str">
        <f t="shared" si="25"/>
        <v/>
      </c>
      <c r="K116" s="21"/>
      <c r="L116" s="22"/>
      <c r="M116" s="23" t="str">
        <f t="shared" si="26"/>
        <v/>
      </c>
      <c r="N116" s="21"/>
      <c r="O116" s="23" t="str">
        <f t="shared" si="27"/>
        <v/>
      </c>
      <c r="P116" s="18" t="str">
        <f t="shared" si="28"/>
        <v/>
      </c>
      <c r="Q116" s="18" t="str">
        <f t="shared" si="29"/>
        <v/>
      </c>
      <c r="R116" s="18"/>
    </row>
    <row r="117" spans="2:18">
      <c r="B117" s="18"/>
      <c r="C117" s="19">
        <f t="shared" ca="1" si="24"/>
        <v>0</v>
      </c>
      <c r="D117" s="18"/>
      <c r="E117" s="18"/>
      <c r="F117" s="18"/>
      <c r="G117" s="18"/>
      <c r="H117" s="20"/>
      <c r="I117" s="20"/>
      <c r="J117" s="18" t="str">
        <f t="shared" si="25"/>
        <v/>
      </c>
      <c r="K117" s="21"/>
      <c r="L117" s="22"/>
      <c r="M117" s="23" t="str">
        <f t="shared" si="26"/>
        <v/>
      </c>
      <c r="N117" s="21"/>
      <c r="O117" s="23" t="str">
        <f t="shared" si="27"/>
        <v/>
      </c>
      <c r="P117" s="18" t="str">
        <f t="shared" si="28"/>
        <v/>
      </c>
      <c r="Q117" s="18" t="str">
        <f t="shared" si="29"/>
        <v/>
      </c>
      <c r="R117" s="18"/>
    </row>
    <row r="118" spans="2:18">
      <c r="B118" s="18"/>
      <c r="C118" s="19">
        <f t="shared" ca="1" si="24"/>
        <v>0</v>
      </c>
      <c r="D118" s="18"/>
      <c r="E118" s="18"/>
      <c r="F118" s="18"/>
      <c r="G118" s="18"/>
      <c r="H118" s="20"/>
      <c r="I118" s="20"/>
      <c r="J118" s="18" t="str">
        <f t="shared" si="25"/>
        <v/>
      </c>
      <c r="K118" s="21"/>
      <c r="L118" s="22"/>
      <c r="M118" s="23" t="str">
        <f t="shared" si="26"/>
        <v/>
      </c>
      <c r="N118" s="21"/>
      <c r="O118" s="23" t="str">
        <f t="shared" si="27"/>
        <v/>
      </c>
      <c r="P118" s="18" t="str">
        <f t="shared" si="28"/>
        <v/>
      </c>
      <c r="Q118" s="18" t="str">
        <f t="shared" si="29"/>
        <v/>
      </c>
      <c r="R118" s="18"/>
    </row>
    <row r="119" spans="2:18">
      <c r="B119" s="18"/>
      <c r="C119" s="19">
        <f t="shared" ca="1" si="24"/>
        <v>0</v>
      </c>
      <c r="D119" s="18"/>
      <c r="E119" s="18"/>
      <c r="F119" s="18"/>
      <c r="G119" s="18"/>
      <c r="H119" s="20"/>
      <c r="I119" s="20"/>
      <c r="J119" s="18" t="str">
        <f t="shared" si="25"/>
        <v/>
      </c>
      <c r="K119" s="21"/>
      <c r="L119" s="22"/>
      <c r="M119" s="23" t="str">
        <f t="shared" si="26"/>
        <v/>
      </c>
      <c r="N119" s="21"/>
      <c r="O119" s="23" t="str">
        <f t="shared" si="27"/>
        <v/>
      </c>
      <c r="P119" s="18" t="str">
        <f t="shared" si="28"/>
        <v/>
      </c>
      <c r="Q119" s="18" t="str">
        <f t="shared" si="29"/>
        <v/>
      </c>
      <c r="R119" s="18"/>
    </row>
    <row r="120" spans="2:18">
      <c r="B120" s="18"/>
      <c r="C120" s="19">
        <f t="shared" ca="1" si="24"/>
        <v>0</v>
      </c>
      <c r="D120" s="18"/>
      <c r="E120" s="18"/>
      <c r="F120" s="18"/>
      <c r="G120" s="18"/>
      <c r="H120" s="20"/>
      <c r="I120" s="20"/>
      <c r="J120" s="18" t="str">
        <f t="shared" si="25"/>
        <v/>
      </c>
      <c r="K120" s="21"/>
      <c r="L120" s="22"/>
      <c r="M120" s="23" t="str">
        <f t="shared" si="26"/>
        <v/>
      </c>
      <c r="N120" s="21"/>
      <c r="O120" s="23" t="str">
        <f t="shared" si="27"/>
        <v/>
      </c>
      <c r="P120" s="18" t="str">
        <f t="shared" si="28"/>
        <v/>
      </c>
      <c r="Q120" s="18" t="str">
        <f t="shared" si="29"/>
        <v/>
      </c>
      <c r="R120" s="18"/>
    </row>
    <row r="121" spans="2:18">
      <c r="B121" s="18"/>
      <c r="C121" s="19">
        <f t="shared" ca="1" si="24"/>
        <v>0</v>
      </c>
      <c r="D121" s="18"/>
      <c r="E121" s="18"/>
      <c r="F121" s="18"/>
      <c r="G121" s="18"/>
      <c r="H121" s="20"/>
      <c r="I121" s="20"/>
      <c r="J121" s="18" t="str">
        <f t="shared" si="25"/>
        <v/>
      </c>
      <c r="K121" s="21"/>
      <c r="L121" s="22"/>
      <c r="M121" s="23" t="str">
        <f t="shared" si="26"/>
        <v/>
      </c>
      <c r="N121" s="21"/>
      <c r="O121" s="23" t="str">
        <f t="shared" si="27"/>
        <v/>
      </c>
      <c r="P121" s="18" t="str">
        <f t="shared" si="28"/>
        <v/>
      </c>
      <c r="Q121" s="18" t="str">
        <f t="shared" si="29"/>
        <v/>
      </c>
      <c r="R121" s="18"/>
    </row>
    <row r="122" spans="2:18">
      <c r="B122" s="18"/>
      <c r="C122" s="19">
        <f t="shared" ca="1" si="24"/>
        <v>0</v>
      </c>
      <c r="D122" s="18"/>
      <c r="E122" s="18"/>
      <c r="F122" s="18"/>
      <c r="G122" s="18"/>
      <c r="H122" s="20"/>
      <c r="I122" s="20"/>
      <c r="J122" s="18" t="str">
        <f t="shared" si="25"/>
        <v/>
      </c>
      <c r="K122" s="21"/>
      <c r="L122" s="22"/>
      <c r="M122" s="23" t="str">
        <f t="shared" si="26"/>
        <v/>
      </c>
      <c r="N122" s="21"/>
      <c r="O122" s="23" t="str">
        <f t="shared" si="27"/>
        <v/>
      </c>
      <c r="P122" s="18" t="str">
        <f t="shared" si="28"/>
        <v/>
      </c>
      <c r="Q122" s="18" t="str">
        <f t="shared" si="29"/>
        <v/>
      </c>
      <c r="R122" s="18"/>
    </row>
    <row r="123" spans="2:18">
      <c r="B123" s="18"/>
      <c r="C123" s="19">
        <f t="shared" ca="1" si="24"/>
        <v>0</v>
      </c>
      <c r="D123" s="18"/>
      <c r="E123" s="18"/>
      <c r="F123" s="18"/>
      <c r="G123" s="18"/>
      <c r="H123" s="20"/>
      <c r="I123" s="20"/>
      <c r="J123" s="18" t="str">
        <f t="shared" si="25"/>
        <v/>
      </c>
      <c r="K123" s="21"/>
      <c r="L123" s="22"/>
      <c r="M123" s="23" t="str">
        <f t="shared" si="26"/>
        <v/>
      </c>
      <c r="N123" s="21"/>
      <c r="O123" s="23" t="str">
        <f t="shared" si="27"/>
        <v/>
      </c>
      <c r="P123" s="18" t="str">
        <f t="shared" si="28"/>
        <v/>
      </c>
      <c r="Q123" s="18" t="str">
        <f t="shared" si="29"/>
        <v/>
      </c>
      <c r="R123" s="18"/>
    </row>
    <row r="124" spans="2:18">
      <c r="B124" s="18"/>
      <c r="C124" s="19">
        <f t="shared" ca="1" si="24"/>
        <v>0</v>
      </c>
      <c r="D124" s="18"/>
      <c r="E124" s="18"/>
      <c r="F124" s="18"/>
      <c r="G124" s="18"/>
      <c r="H124" s="20"/>
      <c r="I124" s="20"/>
      <c r="J124" s="18" t="str">
        <f t="shared" si="25"/>
        <v/>
      </c>
      <c r="K124" s="21"/>
      <c r="L124" s="22"/>
      <c r="M124" s="23" t="str">
        <f t="shared" si="26"/>
        <v/>
      </c>
      <c r="N124" s="21"/>
      <c r="O124" s="23" t="str">
        <f t="shared" si="27"/>
        <v/>
      </c>
      <c r="P124" s="18" t="str">
        <f t="shared" si="28"/>
        <v/>
      </c>
      <c r="Q124" s="18" t="str">
        <f t="shared" si="29"/>
        <v/>
      </c>
      <c r="R124" s="18"/>
    </row>
    <row r="125" spans="2:18">
      <c r="B125" s="18"/>
      <c r="C125" s="19">
        <f t="shared" ca="1" si="24"/>
        <v>0</v>
      </c>
      <c r="D125" s="18"/>
      <c r="E125" s="18"/>
      <c r="F125" s="18"/>
      <c r="G125" s="18"/>
      <c r="H125" s="20"/>
      <c r="I125" s="20"/>
      <c r="J125" s="18" t="str">
        <f t="shared" si="25"/>
        <v/>
      </c>
      <c r="K125" s="21"/>
      <c r="L125" s="22"/>
      <c r="M125" s="23" t="str">
        <f t="shared" si="26"/>
        <v/>
      </c>
      <c r="N125" s="21"/>
      <c r="O125" s="23" t="str">
        <f t="shared" si="27"/>
        <v/>
      </c>
      <c r="P125" s="18" t="str">
        <f t="shared" si="28"/>
        <v/>
      </c>
      <c r="Q125" s="18" t="str">
        <f t="shared" si="29"/>
        <v/>
      </c>
      <c r="R125" s="18"/>
    </row>
    <row r="126" spans="2:18">
      <c r="B126" s="18"/>
      <c r="C126" s="19">
        <f t="shared" ca="1" si="24"/>
        <v>0</v>
      </c>
      <c r="D126" s="18"/>
      <c r="E126" s="18"/>
      <c r="F126" s="18"/>
      <c r="G126" s="18"/>
      <c r="H126" s="20"/>
      <c r="I126" s="20"/>
      <c r="J126" s="18" t="str">
        <f t="shared" si="25"/>
        <v/>
      </c>
      <c r="K126" s="21"/>
      <c r="L126" s="22"/>
      <c r="M126" s="23" t="str">
        <f t="shared" si="26"/>
        <v/>
      </c>
      <c r="N126" s="21"/>
      <c r="O126" s="23" t="str">
        <f t="shared" si="27"/>
        <v/>
      </c>
      <c r="P126" s="18" t="str">
        <f t="shared" si="28"/>
        <v/>
      </c>
      <c r="Q126" s="18" t="str">
        <f t="shared" si="29"/>
        <v/>
      </c>
      <c r="R126" s="18"/>
    </row>
    <row r="127" spans="2:18">
      <c r="B127" s="18"/>
      <c r="C127" s="19">
        <f t="shared" ca="1" si="24"/>
        <v>0</v>
      </c>
      <c r="D127" s="18"/>
      <c r="E127" s="18"/>
      <c r="F127" s="18"/>
      <c r="G127" s="18"/>
      <c r="H127" s="20"/>
      <c r="I127" s="20"/>
      <c r="J127" s="18" t="str">
        <f t="shared" si="25"/>
        <v/>
      </c>
      <c r="K127" s="21"/>
      <c r="L127" s="22"/>
      <c r="M127" s="23" t="str">
        <f t="shared" si="26"/>
        <v/>
      </c>
      <c r="N127" s="21"/>
      <c r="O127" s="23" t="str">
        <f t="shared" si="27"/>
        <v/>
      </c>
      <c r="P127" s="18" t="str">
        <f t="shared" si="28"/>
        <v/>
      </c>
      <c r="Q127" s="18" t="str">
        <f t="shared" si="29"/>
        <v/>
      </c>
      <c r="R127" s="18"/>
    </row>
    <row r="128" spans="2:18">
      <c r="B128" s="18"/>
      <c r="C128" s="19">
        <f t="shared" ca="1" si="24"/>
        <v>0</v>
      </c>
      <c r="D128" s="18"/>
      <c r="E128" s="18"/>
      <c r="F128" s="18"/>
      <c r="G128" s="18"/>
      <c r="H128" s="20"/>
      <c r="I128" s="20"/>
      <c r="J128" s="18" t="str">
        <f t="shared" si="25"/>
        <v/>
      </c>
      <c r="K128" s="21"/>
      <c r="L128" s="22"/>
      <c r="M128" s="23" t="str">
        <f t="shared" si="26"/>
        <v/>
      </c>
      <c r="N128" s="21"/>
      <c r="O128" s="23" t="str">
        <f t="shared" si="27"/>
        <v/>
      </c>
      <c r="P128" s="18" t="str">
        <f t="shared" si="28"/>
        <v/>
      </c>
      <c r="Q128" s="18" t="str">
        <f t="shared" si="29"/>
        <v/>
      </c>
      <c r="R128" s="18"/>
    </row>
    <row r="129" spans="2:18">
      <c r="B129" s="18"/>
      <c r="C129" s="19">
        <f t="shared" ca="1" si="24"/>
        <v>0</v>
      </c>
      <c r="D129" s="18"/>
      <c r="E129" s="18"/>
      <c r="F129" s="18"/>
      <c r="G129" s="18"/>
      <c r="H129" s="20"/>
      <c r="I129" s="20"/>
      <c r="J129" s="18" t="str">
        <f t="shared" si="25"/>
        <v/>
      </c>
      <c r="K129" s="21"/>
      <c r="L129" s="22"/>
      <c r="M129" s="23" t="str">
        <f t="shared" si="26"/>
        <v/>
      </c>
      <c r="N129" s="21"/>
      <c r="O129" s="23" t="str">
        <f t="shared" si="27"/>
        <v/>
      </c>
      <c r="P129" s="18" t="str">
        <f t="shared" si="28"/>
        <v/>
      </c>
      <c r="Q129" s="18" t="str">
        <f t="shared" si="29"/>
        <v/>
      </c>
      <c r="R129" s="18"/>
    </row>
    <row r="130" spans="2:18">
      <c r="B130" s="18"/>
      <c r="C130" s="19">
        <f t="shared" ca="1" si="24"/>
        <v>0</v>
      </c>
      <c r="D130" s="18"/>
      <c r="E130" s="18"/>
      <c r="F130" s="18"/>
      <c r="G130" s="18"/>
      <c r="H130" s="20"/>
      <c r="I130" s="20"/>
      <c r="J130" s="18" t="str">
        <f t="shared" si="25"/>
        <v/>
      </c>
      <c r="K130" s="21"/>
      <c r="L130" s="22"/>
      <c r="M130" s="23" t="str">
        <f t="shared" si="26"/>
        <v/>
      </c>
      <c r="N130" s="21"/>
      <c r="O130" s="23" t="str">
        <f t="shared" si="27"/>
        <v/>
      </c>
      <c r="P130" s="18" t="str">
        <f t="shared" si="28"/>
        <v/>
      </c>
      <c r="Q130" s="18" t="str">
        <f t="shared" si="29"/>
        <v/>
      </c>
      <c r="R130" s="18"/>
    </row>
    <row r="131" spans="2:18">
      <c r="B131" s="18"/>
      <c r="C131" s="19">
        <f t="shared" ca="1" si="24"/>
        <v>0</v>
      </c>
      <c r="D131" s="18"/>
      <c r="E131" s="18"/>
      <c r="F131" s="18"/>
      <c r="G131" s="18"/>
      <c r="H131" s="20"/>
      <c r="I131" s="20"/>
      <c r="J131" s="18" t="str">
        <f t="shared" si="25"/>
        <v/>
      </c>
      <c r="K131" s="21"/>
      <c r="L131" s="22"/>
      <c r="M131" s="23" t="str">
        <f t="shared" si="26"/>
        <v/>
      </c>
      <c r="N131" s="21"/>
      <c r="O131" s="23" t="str">
        <f t="shared" si="27"/>
        <v/>
      </c>
      <c r="P131" s="18" t="str">
        <f t="shared" si="28"/>
        <v/>
      </c>
      <c r="Q131" s="18" t="str">
        <f t="shared" si="29"/>
        <v/>
      </c>
      <c r="R131" s="18"/>
    </row>
    <row r="132" spans="2:18">
      <c r="B132" s="18"/>
      <c r="C132" s="19">
        <f t="shared" ca="1" si="24"/>
        <v>0</v>
      </c>
      <c r="D132" s="18"/>
      <c r="E132" s="18"/>
      <c r="F132" s="18"/>
      <c r="G132" s="18"/>
      <c r="H132" s="20"/>
      <c r="I132" s="20"/>
      <c r="J132" s="18" t="str">
        <f t="shared" si="25"/>
        <v/>
      </c>
      <c r="K132" s="21"/>
      <c r="L132" s="22"/>
      <c r="M132" s="23" t="str">
        <f t="shared" si="26"/>
        <v/>
      </c>
      <c r="N132" s="21"/>
      <c r="O132" s="23" t="str">
        <f t="shared" si="27"/>
        <v/>
      </c>
      <c r="P132" s="18" t="str">
        <f t="shared" si="28"/>
        <v/>
      </c>
      <c r="Q132" s="18" t="str">
        <f t="shared" si="29"/>
        <v/>
      </c>
      <c r="R132" s="18"/>
    </row>
    <row r="133" spans="2:18">
      <c r="B133" s="18"/>
      <c r="C133" s="19">
        <f t="shared" ca="1" si="24"/>
        <v>0</v>
      </c>
      <c r="D133" s="18"/>
      <c r="E133" s="18"/>
      <c r="F133" s="18"/>
      <c r="G133" s="18"/>
      <c r="H133" s="20"/>
      <c r="I133" s="20"/>
      <c r="J133" s="18" t="str">
        <f t="shared" si="25"/>
        <v/>
      </c>
      <c r="K133" s="21"/>
      <c r="L133" s="22"/>
      <c r="M133" s="23" t="str">
        <f t="shared" si="26"/>
        <v/>
      </c>
      <c r="N133" s="21"/>
      <c r="O133" s="23" t="str">
        <f t="shared" si="27"/>
        <v/>
      </c>
      <c r="P133" s="18" t="str">
        <f t="shared" si="28"/>
        <v/>
      </c>
      <c r="Q133" s="18" t="str">
        <f t="shared" si="29"/>
        <v/>
      </c>
      <c r="R133" s="18"/>
    </row>
    <row r="134" spans="2:18">
      <c r="B134" s="18"/>
      <c r="C134" s="19">
        <f t="shared" ref="C134:C165" ca="1" si="30">IF(D134="",0,IF(C134=0,TODAY(),C134))</f>
        <v>0</v>
      </c>
      <c r="D134" s="18"/>
      <c r="E134" s="18"/>
      <c r="F134" s="18"/>
      <c r="G134" s="18"/>
      <c r="H134" s="20"/>
      <c r="I134" s="20"/>
      <c r="J134" s="18" t="str">
        <f t="shared" ref="J134:J165" si="31">IF(H134="","",H134-I134)</f>
        <v/>
      </c>
      <c r="K134" s="21"/>
      <c r="L134" s="22"/>
      <c r="M134" s="23" t="str">
        <f t="shared" ref="M134:M165" si="32">IF(K134="","",K134*(1-L134))</f>
        <v/>
      </c>
      <c r="N134" s="21"/>
      <c r="O134" s="23" t="str">
        <f t="shared" ref="O134:O165" si="33">IF(M134="","",M134-N134)</f>
        <v/>
      </c>
      <c r="P134" s="18" t="str">
        <f t="shared" ref="P134:P165" si="34">IF(K134="","",IF(O134&lt;=0,"مدفوع بالكامل",IF(N134=0,"لم يدفع","دفع جزئي")))</f>
        <v/>
      </c>
      <c r="Q134" s="18" t="str">
        <f t="shared" ref="Q134:Q165" si="35">IF(H134="","",IF(J134&lt;=0,"تم التسليم بالكامل",IF(I134=0,"لم يبدأ التنفيذ","تسليم جزئي")))</f>
        <v/>
      </c>
      <c r="R134" s="18"/>
    </row>
    <row r="135" spans="2:18">
      <c r="B135" s="18"/>
      <c r="C135" s="19">
        <f t="shared" ca="1" si="30"/>
        <v>0</v>
      </c>
      <c r="D135" s="18"/>
      <c r="E135" s="18"/>
      <c r="F135" s="18"/>
      <c r="G135" s="18"/>
      <c r="H135" s="20"/>
      <c r="I135" s="20"/>
      <c r="J135" s="18" t="str">
        <f t="shared" si="31"/>
        <v/>
      </c>
      <c r="K135" s="21"/>
      <c r="L135" s="22"/>
      <c r="M135" s="23" t="str">
        <f t="shared" si="32"/>
        <v/>
      </c>
      <c r="N135" s="21"/>
      <c r="O135" s="23" t="str">
        <f t="shared" si="33"/>
        <v/>
      </c>
      <c r="P135" s="18" t="str">
        <f t="shared" si="34"/>
        <v/>
      </c>
      <c r="Q135" s="18" t="str">
        <f t="shared" si="35"/>
        <v/>
      </c>
      <c r="R135" s="18"/>
    </row>
    <row r="136" spans="2:18">
      <c r="B136" s="18"/>
      <c r="C136" s="19">
        <f t="shared" ca="1" si="30"/>
        <v>0</v>
      </c>
      <c r="D136" s="18"/>
      <c r="E136" s="18"/>
      <c r="F136" s="18"/>
      <c r="G136" s="18"/>
      <c r="H136" s="20"/>
      <c r="I136" s="20"/>
      <c r="J136" s="18" t="str">
        <f t="shared" si="31"/>
        <v/>
      </c>
      <c r="K136" s="21"/>
      <c r="L136" s="22"/>
      <c r="M136" s="23" t="str">
        <f t="shared" si="32"/>
        <v/>
      </c>
      <c r="N136" s="21"/>
      <c r="O136" s="23" t="str">
        <f t="shared" si="33"/>
        <v/>
      </c>
      <c r="P136" s="18" t="str">
        <f t="shared" si="34"/>
        <v/>
      </c>
      <c r="Q136" s="18" t="str">
        <f t="shared" si="35"/>
        <v/>
      </c>
      <c r="R136" s="18"/>
    </row>
    <row r="137" spans="2:18">
      <c r="B137" s="18"/>
      <c r="C137" s="19">
        <f t="shared" ca="1" si="30"/>
        <v>0</v>
      </c>
      <c r="D137" s="18"/>
      <c r="E137" s="18"/>
      <c r="F137" s="18"/>
      <c r="G137" s="18"/>
      <c r="H137" s="20"/>
      <c r="I137" s="20"/>
      <c r="J137" s="18" t="str">
        <f t="shared" si="31"/>
        <v/>
      </c>
      <c r="K137" s="21"/>
      <c r="L137" s="22"/>
      <c r="M137" s="23" t="str">
        <f t="shared" si="32"/>
        <v/>
      </c>
      <c r="N137" s="21"/>
      <c r="O137" s="23" t="str">
        <f t="shared" si="33"/>
        <v/>
      </c>
      <c r="P137" s="18" t="str">
        <f t="shared" si="34"/>
        <v/>
      </c>
      <c r="Q137" s="18" t="str">
        <f t="shared" si="35"/>
        <v/>
      </c>
      <c r="R137" s="18"/>
    </row>
    <row r="138" spans="2:18">
      <c r="B138" s="18"/>
      <c r="C138" s="19">
        <f t="shared" ca="1" si="30"/>
        <v>0</v>
      </c>
      <c r="D138" s="18"/>
      <c r="E138" s="18"/>
      <c r="F138" s="18"/>
      <c r="G138" s="18"/>
      <c r="H138" s="20"/>
      <c r="I138" s="20"/>
      <c r="J138" s="18" t="str">
        <f t="shared" si="31"/>
        <v/>
      </c>
      <c r="K138" s="21"/>
      <c r="L138" s="22"/>
      <c r="M138" s="23" t="str">
        <f t="shared" si="32"/>
        <v/>
      </c>
      <c r="N138" s="21"/>
      <c r="O138" s="23" t="str">
        <f t="shared" si="33"/>
        <v/>
      </c>
      <c r="P138" s="18" t="str">
        <f t="shared" si="34"/>
        <v/>
      </c>
      <c r="Q138" s="18" t="str">
        <f t="shared" si="35"/>
        <v/>
      </c>
      <c r="R138" s="18"/>
    </row>
    <row r="139" spans="2:18">
      <c r="B139" s="18"/>
      <c r="C139" s="19">
        <f t="shared" ca="1" si="30"/>
        <v>0</v>
      </c>
      <c r="D139" s="18"/>
      <c r="E139" s="18"/>
      <c r="F139" s="18"/>
      <c r="G139" s="18"/>
      <c r="H139" s="20"/>
      <c r="I139" s="20"/>
      <c r="J139" s="18" t="str">
        <f t="shared" si="31"/>
        <v/>
      </c>
      <c r="K139" s="21"/>
      <c r="L139" s="22"/>
      <c r="M139" s="23" t="str">
        <f t="shared" si="32"/>
        <v/>
      </c>
      <c r="N139" s="21"/>
      <c r="O139" s="23" t="str">
        <f t="shared" si="33"/>
        <v/>
      </c>
      <c r="P139" s="18" t="str">
        <f t="shared" si="34"/>
        <v/>
      </c>
      <c r="Q139" s="18" t="str">
        <f t="shared" si="35"/>
        <v/>
      </c>
      <c r="R139" s="18"/>
    </row>
    <row r="140" spans="2:18">
      <c r="B140" s="18"/>
      <c r="C140" s="19">
        <f t="shared" ca="1" si="30"/>
        <v>0</v>
      </c>
      <c r="D140" s="18"/>
      <c r="E140" s="18"/>
      <c r="F140" s="18"/>
      <c r="G140" s="18"/>
      <c r="H140" s="20"/>
      <c r="I140" s="20"/>
      <c r="J140" s="18" t="str">
        <f t="shared" si="31"/>
        <v/>
      </c>
      <c r="K140" s="21"/>
      <c r="L140" s="22"/>
      <c r="M140" s="23" t="str">
        <f t="shared" si="32"/>
        <v/>
      </c>
      <c r="N140" s="21"/>
      <c r="O140" s="23" t="str">
        <f t="shared" si="33"/>
        <v/>
      </c>
      <c r="P140" s="18" t="str">
        <f t="shared" si="34"/>
        <v/>
      </c>
      <c r="Q140" s="18" t="str">
        <f t="shared" si="35"/>
        <v/>
      </c>
      <c r="R140" s="18"/>
    </row>
    <row r="141" spans="2:18">
      <c r="B141" s="18"/>
      <c r="C141" s="19">
        <f t="shared" ca="1" si="30"/>
        <v>0</v>
      </c>
      <c r="D141" s="18"/>
      <c r="E141" s="18"/>
      <c r="F141" s="18"/>
      <c r="G141" s="18"/>
      <c r="H141" s="20"/>
      <c r="I141" s="20"/>
      <c r="J141" s="18" t="str">
        <f t="shared" si="31"/>
        <v/>
      </c>
      <c r="K141" s="21"/>
      <c r="L141" s="22"/>
      <c r="M141" s="23" t="str">
        <f t="shared" si="32"/>
        <v/>
      </c>
      <c r="N141" s="21"/>
      <c r="O141" s="23" t="str">
        <f t="shared" si="33"/>
        <v/>
      </c>
      <c r="P141" s="18" t="str">
        <f t="shared" si="34"/>
        <v/>
      </c>
      <c r="Q141" s="18" t="str">
        <f t="shared" si="35"/>
        <v/>
      </c>
      <c r="R141" s="18"/>
    </row>
    <row r="142" spans="2:18">
      <c r="B142" s="18"/>
      <c r="C142" s="19">
        <f t="shared" ca="1" si="30"/>
        <v>0</v>
      </c>
      <c r="D142" s="18"/>
      <c r="E142" s="18"/>
      <c r="F142" s="18"/>
      <c r="G142" s="18"/>
      <c r="H142" s="20"/>
      <c r="I142" s="20"/>
      <c r="J142" s="18" t="str">
        <f t="shared" si="31"/>
        <v/>
      </c>
      <c r="K142" s="21"/>
      <c r="L142" s="22"/>
      <c r="M142" s="23" t="str">
        <f t="shared" si="32"/>
        <v/>
      </c>
      <c r="N142" s="21"/>
      <c r="O142" s="23" t="str">
        <f t="shared" si="33"/>
        <v/>
      </c>
      <c r="P142" s="18" t="str">
        <f t="shared" si="34"/>
        <v/>
      </c>
      <c r="Q142" s="18" t="str">
        <f t="shared" si="35"/>
        <v/>
      </c>
      <c r="R142" s="18"/>
    </row>
    <row r="143" spans="2:18">
      <c r="B143" s="18"/>
      <c r="C143" s="19">
        <f t="shared" ca="1" si="30"/>
        <v>0</v>
      </c>
      <c r="D143" s="18"/>
      <c r="E143" s="18"/>
      <c r="F143" s="18"/>
      <c r="G143" s="18"/>
      <c r="H143" s="20"/>
      <c r="I143" s="20"/>
      <c r="J143" s="18" t="str">
        <f t="shared" si="31"/>
        <v/>
      </c>
      <c r="K143" s="21"/>
      <c r="L143" s="22"/>
      <c r="M143" s="23" t="str">
        <f t="shared" si="32"/>
        <v/>
      </c>
      <c r="N143" s="21"/>
      <c r="O143" s="23" t="str">
        <f t="shared" si="33"/>
        <v/>
      </c>
      <c r="P143" s="18" t="str">
        <f t="shared" si="34"/>
        <v/>
      </c>
      <c r="Q143" s="18" t="str">
        <f t="shared" si="35"/>
        <v/>
      </c>
      <c r="R143" s="18"/>
    </row>
    <row r="144" spans="2:18">
      <c r="B144" s="18"/>
      <c r="C144" s="19">
        <f t="shared" ca="1" si="30"/>
        <v>0</v>
      </c>
      <c r="D144" s="18"/>
      <c r="E144" s="18"/>
      <c r="F144" s="18"/>
      <c r="G144" s="18"/>
      <c r="H144" s="20"/>
      <c r="I144" s="20"/>
      <c r="J144" s="18" t="str">
        <f t="shared" si="31"/>
        <v/>
      </c>
      <c r="K144" s="21"/>
      <c r="L144" s="22"/>
      <c r="M144" s="23" t="str">
        <f t="shared" si="32"/>
        <v/>
      </c>
      <c r="N144" s="21"/>
      <c r="O144" s="23" t="str">
        <f t="shared" si="33"/>
        <v/>
      </c>
      <c r="P144" s="18" t="str">
        <f t="shared" si="34"/>
        <v/>
      </c>
      <c r="Q144" s="18" t="str">
        <f t="shared" si="35"/>
        <v/>
      </c>
      <c r="R144" s="18"/>
    </row>
    <row r="145" spans="2:18">
      <c r="B145" s="18"/>
      <c r="C145" s="19">
        <f t="shared" ca="1" si="30"/>
        <v>0</v>
      </c>
      <c r="D145" s="18"/>
      <c r="E145" s="18"/>
      <c r="F145" s="18"/>
      <c r="G145" s="18"/>
      <c r="H145" s="20"/>
      <c r="I145" s="20"/>
      <c r="J145" s="18" t="str">
        <f t="shared" si="31"/>
        <v/>
      </c>
      <c r="K145" s="21"/>
      <c r="L145" s="22"/>
      <c r="M145" s="23" t="str">
        <f t="shared" si="32"/>
        <v/>
      </c>
      <c r="N145" s="21"/>
      <c r="O145" s="23" t="str">
        <f t="shared" si="33"/>
        <v/>
      </c>
      <c r="P145" s="18" t="str">
        <f t="shared" si="34"/>
        <v/>
      </c>
      <c r="Q145" s="18" t="str">
        <f t="shared" si="35"/>
        <v/>
      </c>
      <c r="R145" s="18"/>
    </row>
    <row r="146" spans="2:18">
      <c r="B146" s="18"/>
      <c r="C146" s="19">
        <f t="shared" ca="1" si="30"/>
        <v>0</v>
      </c>
      <c r="D146" s="18"/>
      <c r="E146" s="18"/>
      <c r="F146" s="18"/>
      <c r="G146" s="18"/>
      <c r="H146" s="20"/>
      <c r="I146" s="20"/>
      <c r="J146" s="18" t="str">
        <f t="shared" si="31"/>
        <v/>
      </c>
      <c r="K146" s="21"/>
      <c r="L146" s="22"/>
      <c r="M146" s="23" t="str">
        <f t="shared" si="32"/>
        <v/>
      </c>
      <c r="N146" s="21"/>
      <c r="O146" s="23" t="str">
        <f t="shared" si="33"/>
        <v/>
      </c>
      <c r="P146" s="18" t="str">
        <f t="shared" si="34"/>
        <v/>
      </c>
      <c r="Q146" s="18" t="str">
        <f t="shared" si="35"/>
        <v/>
      </c>
      <c r="R146" s="18"/>
    </row>
    <row r="147" spans="2:18">
      <c r="B147" s="18"/>
      <c r="C147" s="19">
        <f t="shared" ca="1" si="30"/>
        <v>0</v>
      </c>
      <c r="D147" s="18"/>
      <c r="E147" s="18"/>
      <c r="F147" s="18"/>
      <c r="G147" s="18"/>
      <c r="H147" s="20"/>
      <c r="I147" s="20"/>
      <c r="J147" s="18" t="str">
        <f t="shared" si="31"/>
        <v/>
      </c>
      <c r="K147" s="21"/>
      <c r="L147" s="22"/>
      <c r="M147" s="23" t="str">
        <f t="shared" si="32"/>
        <v/>
      </c>
      <c r="N147" s="21"/>
      <c r="O147" s="23" t="str">
        <f t="shared" si="33"/>
        <v/>
      </c>
      <c r="P147" s="18" t="str">
        <f t="shared" si="34"/>
        <v/>
      </c>
      <c r="Q147" s="18" t="str">
        <f t="shared" si="35"/>
        <v/>
      </c>
      <c r="R147" s="18"/>
    </row>
    <row r="148" spans="2:18">
      <c r="B148" s="18"/>
      <c r="C148" s="19">
        <f t="shared" ca="1" si="30"/>
        <v>0</v>
      </c>
      <c r="D148" s="18"/>
      <c r="E148" s="18"/>
      <c r="F148" s="18"/>
      <c r="G148" s="18"/>
      <c r="H148" s="20"/>
      <c r="I148" s="20"/>
      <c r="J148" s="18" t="str">
        <f t="shared" si="31"/>
        <v/>
      </c>
      <c r="K148" s="21"/>
      <c r="L148" s="22"/>
      <c r="M148" s="23" t="str">
        <f t="shared" si="32"/>
        <v/>
      </c>
      <c r="N148" s="21"/>
      <c r="O148" s="23" t="str">
        <f t="shared" si="33"/>
        <v/>
      </c>
      <c r="P148" s="18" t="str">
        <f t="shared" si="34"/>
        <v/>
      </c>
      <c r="Q148" s="18" t="str">
        <f t="shared" si="35"/>
        <v/>
      </c>
      <c r="R148" s="18"/>
    </row>
    <row r="149" spans="2:18">
      <c r="B149" s="18"/>
      <c r="C149" s="19">
        <f t="shared" ca="1" si="30"/>
        <v>0</v>
      </c>
      <c r="D149" s="18"/>
      <c r="E149" s="18"/>
      <c r="F149" s="18"/>
      <c r="G149" s="18"/>
      <c r="H149" s="20"/>
      <c r="I149" s="20"/>
      <c r="J149" s="18" t="str">
        <f t="shared" si="31"/>
        <v/>
      </c>
      <c r="K149" s="21"/>
      <c r="L149" s="22"/>
      <c r="M149" s="23" t="str">
        <f t="shared" si="32"/>
        <v/>
      </c>
      <c r="N149" s="21"/>
      <c r="O149" s="23" t="str">
        <f t="shared" si="33"/>
        <v/>
      </c>
      <c r="P149" s="18" t="str">
        <f t="shared" si="34"/>
        <v/>
      </c>
      <c r="Q149" s="18" t="str">
        <f t="shared" si="35"/>
        <v/>
      </c>
      <c r="R149" s="18"/>
    </row>
    <row r="150" spans="2:18">
      <c r="B150" s="18"/>
      <c r="C150" s="19">
        <f t="shared" ca="1" si="30"/>
        <v>0</v>
      </c>
      <c r="D150" s="18"/>
      <c r="E150" s="18"/>
      <c r="F150" s="18"/>
      <c r="G150" s="18"/>
      <c r="H150" s="20"/>
      <c r="I150" s="20"/>
      <c r="J150" s="18" t="str">
        <f t="shared" si="31"/>
        <v/>
      </c>
      <c r="K150" s="21"/>
      <c r="L150" s="22"/>
      <c r="M150" s="23" t="str">
        <f t="shared" si="32"/>
        <v/>
      </c>
      <c r="N150" s="21"/>
      <c r="O150" s="23" t="str">
        <f t="shared" si="33"/>
        <v/>
      </c>
      <c r="P150" s="18" t="str">
        <f t="shared" si="34"/>
        <v/>
      </c>
      <c r="Q150" s="18" t="str">
        <f t="shared" si="35"/>
        <v/>
      </c>
      <c r="R150" s="18"/>
    </row>
    <row r="151" spans="2:18">
      <c r="B151" s="18"/>
      <c r="C151" s="19">
        <f t="shared" ca="1" si="30"/>
        <v>0</v>
      </c>
      <c r="D151" s="18"/>
      <c r="E151" s="18"/>
      <c r="F151" s="18"/>
      <c r="G151" s="18"/>
      <c r="H151" s="20"/>
      <c r="I151" s="20"/>
      <c r="J151" s="18" t="str">
        <f t="shared" si="31"/>
        <v/>
      </c>
      <c r="K151" s="21"/>
      <c r="L151" s="22"/>
      <c r="M151" s="23" t="str">
        <f t="shared" si="32"/>
        <v/>
      </c>
      <c r="N151" s="21"/>
      <c r="O151" s="23" t="str">
        <f t="shared" si="33"/>
        <v/>
      </c>
      <c r="P151" s="18" t="str">
        <f t="shared" si="34"/>
        <v/>
      </c>
      <c r="Q151" s="18" t="str">
        <f t="shared" si="35"/>
        <v/>
      </c>
      <c r="R151" s="18"/>
    </row>
    <row r="152" spans="2:18">
      <c r="B152" s="18"/>
      <c r="C152" s="19">
        <f t="shared" ca="1" si="30"/>
        <v>0</v>
      </c>
      <c r="D152" s="18"/>
      <c r="E152" s="18"/>
      <c r="F152" s="18"/>
      <c r="G152" s="18"/>
      <c r="H152" s="20"/>
      <c r="I152" s="20"/>
      <c r="J152" s="18" t="str">
        <f t="shared" si="31"/>
        <v/>
      </c>
      <c r="K152" s="21"/>
      <c r="L152" s="22"/>
      <c r="M152" s="23" t="str">
        <f t="shared" si="32"/>
        <v/>
      </c>
      <c r="N152" s="21"/>
      <c r="O152" s="23" t="str">
        <f t="shared" si="33"/>
        <v/>
      </c>
      <c r="P152" s="18" t="str">
        <f t="shared" si="34"/>
        <v/>
      </c>
      <c r="Q152" s="18" t="str">
        <f t="shared" si="35"/>
        <v/>
      </c>
      <c r="R152" s="18"/>
    </row>
    <row r="153" spans="2:18">
      <c r="B153" s="18"/>
      <c r="C153" s="19">
        <f t="shared" ca="1" si="30"/>
        <v>0</v>
      </c>
      <c r="D153" s="18"/>
      <c r="E153" s="18"/>
      <c r="F153" s="18"/>
      <c r="G153" s="18"/>
      <c r="H153" s="20"/>
      <c r="I153" s="20"/>
      <c r="J153" s="18" t="str">
        <f t="shared" si="31"/>
        <v/>
      </c>
      <c r="K153" s="21"/>
      <c r="L153" s="22"/>
      <c r="M153" s="23" t="str">
        <f t="shared" si="32"/>
        <v/>
      </c>
      <c r="N153" s="21"/>
      <c r="O153" s="23" t="str">
        <f t="shared" si="33"/>
        <v/>
      </c>
      <c r="P153" s="18" t="str">
        <f t="shared" si="34"/>
        <v/>
      </c>
      <c r="Q153" s="18" t="str">
        <f t="shared" si="35"/>
        <v/>
      </c>
      <c r="R153" s="18"/>
    </row>
    <row r="154" spans="2:18">
      <c r="B154" s="18"/>
      <c r="C154" s="19">
        <f t="shared" ca="1" si="30"/>
        <v>0</v>
      </c>
      <c r="D154" s="18"/>
      <c r="E154" s="18"/>
      <c r="F154" s="18"/>
      <c r="G154" s="18"/>
      <c r="H154" s="20"/>
      <c r="I154" s="20"/>
      <c r="J154" s="18" t="str">
        <f t="shared" si="31"/>
        <v/>
      </c>
      <c r="K154" s="21"/>
      <c r="L154" s="22"/>
      <c r="M154" s="23" t="str">
        <f t="shared" si="32"/>
        <v/>
      </c>
      <c r="N154" s="21"/>
      <c r="O154" s="23" t="str">
        <f t="shared" si="33"/>
        <v/>
      </c>
      <c r="P154" s="18" t="str">
        <f t="shared" si="34"/>
        <v/>
      </c>
      <c r="Q154" s="18" t="str">
        <f t="shared" si="35"/>
        <v/>
      </c>
      <c r="R154" s="18"/>
    </row>
    <row r="155" spans="2:18">
      <c r="B155" s="18"/>
      <c r="C155" s="19">
        <f t="shared" ca="1" si="30"/>
        <v>0</v>
      </c>
      <c r="D155" s="18"/>
      <c r="E155" s="18"/>
      <c r="F155" s="18"/>
      <c r="G155" s="18"/>
      <c r="H155" s="20"/>
      <c r="I155" s="20"/>
      <c r="J155" s="18" t="str">
        <f t="shared" si="31"/>
        <v/>
      </c>
      <c r="K155" s="21"/>
      <c r="L155" s="22"/>
      <c r="M155" s="23" t="str">
        <f t="shared" si="32"/>
        <v/>
      </c>
      <c r="N155" s="21"/>
      <c r="O155" s="23" t="str">
        <f t="shared" si="33"/>
        <v/>
      </c>
      <c r="P155" s="18" t="str">
        <f t="shared" si="34"/>
        <v/>
      </c>
      <c r="Q155" s="18" t="str">
        <f t="shared" si="35"/>
        <v/>
      </c>
      <c r="R155" s="18"/>
    </row>
    <row r="156" spans="2:18">
      <c r="B156" s="18"/>
      <c r="C156" s="19">
        <f t="shared" ca="1" si="30"/>
        <v>0</v>
      </c>
      <c r="D156" s="18"/>
      <c r="E156" s="18"/>
      <c r="F156" s="18"/>
      <c r="G156" s="18"/>
      <c r="H156" s="20"/>
      <c r="I156" s="20"/>
      <c r="J156" s="18" t="str">
        <f t="shared" si="31"/>
        <v/>
      </c>
      <c r="K156" s="21"/>
      <c r="L156" s="22"/>
      <c r="M156" s="23" t="str">
        <f t="shared" si="32"/>
        <v/>
      </c>
      <c r="N156" s="21"/>
      <c r="O156" s="23" t="str">
        <f t="shared" si="33"/>
        <v/>
      </c>
      <c r="P156" s="18" t="str">
        <f t="shared" si="34"/>
        <v/>
      </c>
      <c r="Q156" s="18" t="str">
        <f t="shared" si="35"/>
        <v/>
      </c>
      <c r="R156" s="18"/>
    </row>
    <row r="157" spans="2:18">
      <c r="B157" s="18"/>
      <c r="C157" s="19">
        <f t="shared" ca="1" si="30"/>
        <v>0</v>
      </c>
      <c r="D157" s="18"/>
      <c r="E157" s="18"/>
      <c r="F157" s="18"/>
      <c r="G157" s="18"/>
      <c r="H157" s="20"/>
      <c r="I157" s="20"/>
      <c r="J157" s="18" t="str">
        <f t="shared" si="31"/>
        <v/>
      </c>
      <c r="K157" s="21"/>
      <c r="L157" s="22"/>
      <c r="M157" s="23" t="str">
        <f t="shared" si="32"/>
        <v/>
      </c>
      <c r="N157" s="21"/>
      <c r="O157" s="23" t="str">
        <f t="shared" si="33"/>
        <v/>
      </c>
      <c r="P157" s="18" t="str">
        <f t="shared" si="34"/>
        <v/>
      </c>
      <c r="Q157" s="18" t="str">
        <f t="shared" si="35"/>
        <v/>
      </c>
      <c r="R157" s="18"/>
    </row>
    <row r="158" spans="2:18">
      <c r="B158" s="18"/>
      <c r="C158" s="19">
        <f t="shared" ca="1" si="30"/>
        <v>0</v>
      </c>
      <c r="D158" s="18"/>
      <c r="E158" s="18"/>
      <c r="F158" s="18"/>
      <c r="G158" s="18"/>
      <c r="H158" s="20"/>
      <c r="I158" s="20"/>
      <c r="J158" s="18" t="str">
        <f t="shared" si="31"/>
        <v/>
      </c>
      <c r="K158" s="21"/>
      <c r="L158" s="22"/>
      <c r="M158" s="23" t="str">
        <f t="shared" si="32"/>
        <v/>
      </c>
      <c r="N158" s="21"/>
      <c r="O158" s="23" t="str">
        <f t="shared" si="33"/>
        <v/>
      </c>
      <c r="P158" s="18" t="str">
        <f t="shared" si="34"/>
        <v/>
      </c>
      <c r="Q158" s="18" t="str">
        <f t="shared" si="35"/>
        <v/>
      </c>
      <c r="R158" s="18"/>
    </row>
    <row r="159" spans="2:18">
      <c r="B159" s="18"/>
      <c r="C159" s="19">
        <f t="shared" ca="1" si="30"/>
        <v>0</v>
      </c>
      <c r="D159" s="18"/>
      <c r="E159" s="18"/>
      <c r="F159" s="18"/>
      <c r="G159" s="18"/>
      <c r="H159" s="20"/>
      <c r="I159" s="20"/>
      <c r="J159" s="18" t="str">
        <f t="shared" si="31"/>
        <v/>
      </c>
      <c r="K159" s="21"/>
      <c r="L159" s="22"/>
      <c r="M159" s="23" t="str">
        <f t="shared" si="32"/>
        <v/>
      </c>
      <c r="N159" s="21"/>
      <c r="O159" s="23" t="str">
        <f t="shared" si="33"/>
        <v/>
      </c>
      <c r="P159" s="18" t="str">
        <f t="shared" si="34"/>
        <v/>
      </c>
      <c r="Q159" s="18" t="str">
        <f t="shared" si="35"/>
        <v/>
      </c>
      <c r="R159" s="18"/>
    </row>
    <row r="160" spans="2:18">
      <c r="B160" s="18"/>
      <c r="C160" s="19">
        <f t="shared" ca="1" si="30"/>
        <v>0</v>
      </c>
      <c r="D160" s="18"/>
      <c r="E160" s="18"/>
      <c r="F160" s="18"/>
      <c r="G160" s="18"/>
      <c r="H160" s="20"/>
      <c r="I160" s="20"/>
      <c r="J160" s="18" t="str">
        <f t="shared" si="31"/>
        <v/>
      </c>
      <c r="K160" s="21"/>
      <c r="L160" s="22"/>
      <c r="M160" s="23" t="str">
        <f t="shared" si="32"/>
        <v/>
      </c>
      <c r="N160" s="21"/>
      <c r="O160" s="23" t="str">
        <f t="shared" si="33"/>
        <v/>
      </c>
      <c r="P160" s="18" t="str">
        <f t="shared" si="34"/>
        <v/>
      </c>
      <c r="Q160" s="18" t="str">
        <f t="shared" si="35"/>
        <v/>
      </c>
      <c r="R160" s="18"/>
    </row>
    <row r="161" spans="2:18">
      <c r="B161" s="18"/>
      <c r="C161" s="19">
        <f t="shared" ca="1" si="30"/>
        <v>0</v>
      </c>
      <c r="D161" s="18"/>
      <c r="E161" s="18"/>
      <c r="F161" s="18"/>
      <c r="G161" s="18"/>
      <c r="H161" s="20"/>
      <c r="I161" s="20"/>
      <c r="J161" s="18" t="str">
        <f t="shared" si="31"/>
        <v/>
      </c>
      <c r="K161" s="21"/>
      <c r="L161" s="22"/>
      <c r="M161" s="23" t="str">
        <f t="shared" si="32"/>
        <v/>
      </c>
      <c r="N161" s="21"/>
      <c r="O161" s="23" t="str">
        <f t="shared" si="33"/>
        <v/>
      </c>
      <c r="P161" s="18" t="str">
        <f t="shared" si="34"/>
        <v/>
      </c>
      <c r="Q161" s="18" t="str">
        <f t="shared" si="35"/>
        <v/>
      </c>
      <c r="R161" s="18"/>
    </row>
    <row r="162" spans="2:18">
      <c r="B162" s="18"/>
      <c r="C162" s="19">
        <f t="shared" ca="1" si="30"/>
        <v>0</v>
      </c>
      <c r="D162" s="18"/>
      <c r="E162" s="18"/>
      <c r="F162" s="18"/>
      <c r="G162" s="18"/>
      <c r="H162" s="20"/>
      <c r="I162" s="20"/>
      <c r="J162" s="18" t="str">
        <f t="shared" si="31"/>
        <v/>
      </c>
      <c r="K162" s="21"/>
      <c r="L162" s="22"/>
      <c r="M162" s="23" t="str">
        <f t="shared" si="32"/>
        <v/>
      </c>
      <c r="N162" s="21"/>
      <c r="O162" s="23" t="str">
        <f t="shared" si="33"/>
        <v/>
      </c>
      <c r="P162" s="18" t="str">
        <f t="shared" si="34"/>
        <v/>
      </c>
      <c r="Q162" s="18" t="str">
        <f t="shared" si="35"/>
        <v/>
      </c>
      <c r="R162" s="18"/>
    </row>
    <row r="163" spans="2:18">
      <c r="B163" s="18"/>
      <c r="C163" s="19">
        <f t="shared" ca="1" si="30"/>
        <v>0</v>
      </c>
      <c r="D163" s="18"/>
      <c r="E163" s="18"/>
      <c r="F163" s="18"/>
      <c r="G163" s="18"/>
      <c r="H163" s="20"/>
      <c r="I163" s="20"/>
      <c r="J163" s="18" t="str">
        <f t="shared" si="31"/>
        <v/>
      </c>
      <c r="K163" s="21"/>
      <c r="L163" s="22"/>
      <c r="M163" s="23" t="str">
        <f t="shared" si="32"/>
        <v/>
      </c>
      <c r="N163" s="21"/>
      <c r="O163" s="23" t="str">
        <f t="shared" si="33"/>
        <v/>
      </c>
      <c r="P163" s="18" t="str">
        <f t="shared" si="34"/>
        <v/>
      </c>
      <c r="Q163" s="18" t="str">
        <f t="shared" si="35"/>
        <v/>
      </c>
      <c r="R163" s="18"/>
    </row>
    <row r="164" spans="2:18">
      <c r="B164" s="18"/>
      <c r="C164" s="19">
        <f t="shared" ca="1" si="30"/>
        <v>0</v>
      </c>
      <c r="D164" s="18"/>
      <c r="E164" s="18"/>
      <c r="F164" s="18"/>
      <c r="G164" s="18"/>
      <c r="H164" s="20"/>
      <c r="I164" s="20"/>
      <c r="J164" s="18" t="str">
        <f t="shared" si="31"/>
        <v/>
      </c>
      <c r="K164" s="21"/>
      <c r="L164" s="22"/>
      <c r="M164" s="23" t="str">
        <f t="shared" si="32"/>
        <v/>
      </c>
      <c r="N164" s="21"/>
      <c r="O164" s="23" t="str">
        <f t="shared" si="33"/>
        <v/>
      </c>
      <c r="P164" s="18" t="str">
        <f t="shared" si="34"/>
        <v/>
      </c>
      <c r="Q164" s="18" t="str">
        <f t="shared" si="35"/>
        <v/>
      </c>
      <c r="R164" s="18"/>
    </row>
    <row r="165" spans="2:18">
      <c r="B165" s="18"/>
      <c r="C165" s="19">
        <f t="shared" ca="1" si="30"/>
        <v>0</v>
      </c>
      <c r="D165" s="18"/>
      <c r="E165" s="18"/>
      <c r="F165" s="18"/>
      <c r="G165" s="18"/>
      <c r="H165" s="20"/>
      <c r="I165" s="20"/>
      <c r="J165" s="18" t="str">
        <f t="shared" si="31"/>
        <v/>
      </c>
      <c r="K165" s="21"/>
      <c r="L165" s="22"/>
      <c r="M165" s="23" t="str">
        <f t="shared" si="32"/>
        <v/>
      </c>
      <c r="N165" s="21"/>
      <c r="O165" s="23" t="str">
        <f t="shared" si="33"/>
        <v/>
      </c>
      <c r="P165" s="18" t="str">
        <f t="shared" si="34"/>
        <v/>
      </c>
      <c r="Q165" s="18" t="str">
        <f t="shared" si="35"/>
        <v/>
      </c>
      <c r="R165" s="18"/>
    </row>
    <row r="166" spans="2:18">
      <c r="B166" s="18"/>
      <c r="C166" s="19">
        <f t="shared" ref="C166:C197" ca="1" si="36">IF(D166="",0,IF(C166=0,TODAY(),C166))</f>
        <v>0</v>
      </c>
      <c r="D166" s="18"/>
      <c r="E166" s="18"/>
      <c r="F166" s="18"/>
      <c r="G166" s="18"/>
      <c r="H166" s="20"/>
      <c r="I166" s="20"/>
      <c r="J166" s="18" t="str">
        <f t="shared" ref="J166:J197" si="37">IF(H166="","",H166-I166)</f>
        <v/>
      </c>
      <c r="K166" s="21"/>
      <c r="L166" s="22"/>
      <c r="M166" s="23" t="str">
        <f t="shared" ref="M166:M197" si="38">IF(K166="","",K166*(1-L166))</f>
        <v/>
      </c>
      <c r="N166" s="21"/>
      <c r="O166" s="23" t="str">
        <f t="shared" ref="O166:O197" si="39">IF(M166="","",M166-N166)</f>
        <v/>
      </c>
      <c r="P166" s="18" t="str">
        <f t="shared" ref="P166:P197" si="40">IF(K166="","",IF(O166&lt;=0,"مدفوع بالكامل",IF(N166=0,"لم يدفع","دفع جزئي")))</f>
        <v/>
      </c>
      <c r="Q166" s="18" t="str">
        <f t="shared" ref="Q166:Q200" si="41">IF(H166="","",IF(J166&lt;=0,"تم التسليم بالكامل",IF(I166=0,"لم يبدأ التنفيذ","تسليم جزئي")))</f>
        <v/>
      </c>
      <c r="R166" s="18"/>
    </row>
    <row r="167" spans="2:18">
      <c r="B167" s="18"/>
      <c r="C167" s="19">
        <f t="shared" ca="1" si="36"/>
        <v>0</v>
      </c>
      <c r="D167" s="18"/>
      <c r="E167" s="18"/>
      <c r="F167" s="18"/>
      <c r="G167" s="18"/>
      <c r="H167" s="20"/>
      <c r="I167" s="20"/>
      <c r="J167" s="18" t="str">
        <f t="shared" si="37"/>
        <v/>
      </c>
      <c r="K167" s="21"/>
      <c r="L167" s="22"/>
      <c r="M167" s="23" t="str">
        <f t="shared" si="38"/>
        <v/>
      </c>
      <c r="N167" s="21"/>
      <c r="O167" s="23" t="str">
        <f t="shared" si="39"/>
        <v/>
      </c>
      <c r="P167" s="18" t="str">
        <f t="shared" si="40"/>
        <v/>
      </c>
      <c r="Q167" s="18" t="str">
        <f t="shared" si="41"/>
        <v/>
      </c>
      <c r="R167" s="18"/>
    </row>
    <row r="168" spans="2:18">
      <c r="B168" s="18"/>
      <c r="C168" s="19">
        <f t="shared" ca="1" si="36"/>
        <v>0</v>
      </c>
      <c r="D168" s="18"/>
      <c r="E168" s="18"/>
      <c r="F168" s="18"/>
      <c r="G168" s="18"/>
      <c r="H168" s="20"/>
      <c r="I168" s="20"/>
      <c r="J168" s="18" t="str">
        <f t="shared" si="37"/>
        <v/>
      </c>
      <c r="K168" s="21"/>
      <c r="L168" s="22"/>
      <c r="M168" s="23" t="str">
        <f t="shared" si="38"/>
        <v/>
      </c>
      <c r="N168" s="21"/>
      <c r="O168" s="23" t="str">
        <f t="shared" si="39"/>
        <v/>
      </c>
      <c r="P168" s="18" t="str">
        <f t="shared" si="40"/>
        <v/>
      </c>
      <c r="Q168" s="18" t="str">
        <f t="shared" si="41"/>
        <v/>
      </c>
      <c r="R168" s="18"/>
    </row>
    <row r="169" spans="2:18">
      <c r="B169" s="18"/>
      <c r="C169" s="19">
        <f t="shared" ca="1" si="36"/>
        <v>0</v>
      </c>
      <c r="D169" s="18"/>
      <c r="E169" s="18"/>
      <c r="F169" s="18"/>
      <c r="G169" s="18"/>
      <c r="H169" s="20"/>
      <c r="I169" s="20"/>
      <c r="J169" s="18" t="str">
        <f t="shared" si="37"/>
        <v/>
      </c>
      <c r="K169" s="21"/>
      <c r="L169" s="22"/>
      <c r="M169" s="23" t="str">
        <f t="shared" si="38"/>
        <v/>
      </c>
      <c r="N169" s="21"/>
      <c r="O169" s="23" t="str">
        <f t="shared" si="39"/>
        <v/>
      </c>
      <c r="P169" s="18" t="str">
        <f t="shared" si="40"/>
        <v/>
      </c>
      <c r="Q169" s="18" t="str">
        <f t="shared" si="41"/>
        <v/>
      </c>
      <c r="R169" s="18"/>
    </row>
    <row r="170" spans="2:18">
      <c r="B170" s="18"/>
      <c r="C170" s="19">
        <f t="shared" ca="1" si="36"/>
        <v>0</v>
      </c>
      <c r="D170" s="18"/>
      <c r="E170" s="18"/>
      <c r="F170" s="18"/>
      <c r="G170" s="18"/>
      <c r="H170" s="20"/>
      <c r="I170" s="20"/>
      <c r="J170" s="18" t="str">
        <f t="shared" si="37"/>
        <v/>
      </c>
      <c r="K170" s="21"/>
      <c r="L170" s="22"/>
      <c r="M170" s="23" t="str">
        <f t="shared" si="38"/>
        <v/>
      </c>
      <c r="N170" s="21"/>
      <c r="O170" s="23" t="str">
        <f t="shared" si="39"/>
        <v/>
      </c>
      <c r="P170" s="18" t="str">
        <f t="shared" si="40"/>
        <v/>
      </c>
      <c r="Q170" s="18" t="str">
        <f t="shared" si="41"/>
        <v/>
      </c>
      <c r="R170" s="18"/>
    </row>
    <row r="171" spans="2:18">
      <c r="B171" s="18"/>
      <c r="C171" s="19">
        <f t="shared" ca="1" si="36"/>
        <v>0</v>
      </c>
      <c r="D171" s="18"/>
      <c r="E171" s="18"/>
      <c r="F171" s="18"/>
      <c r="G171" s="18"/>
      <c r="H171" s="20"/>
      <c r="I171" s="20"/>
      <c r="J171" s="18" t="str">
        <f t="shared" si="37"/>
        <v/>
      </c>
      <c r="K171" s="21"/>
      <c r="L171" s="22"/>
      <c r="M171" s="23" t="str">
        <f t="shared" si="38"/>
        <v/>
      </c>
      <c r="N171" s="21"/>
      <c r="O171" s="23" t="str">
        <f t="shared" si="39"/>
        <v/>
      </c>
      <c r="P171" s="18" t="str">
        <f t="shared" si="40"/>
        <v/>
      </c>
      <c r="Q171" s="18" t="str">
        <f t="shared" si="41"/>
        <v/>
      </c>
      <c r="R171" s="18"/>
    </row>
    <row r="172" spans="2:18">
      <c r="B172" s="18"/>
      <c r="C172" s="19">
        <f t="shared" ca="1" si="36"/>
        <v>0</v>
      </c>
      <c r="D172" s="18"/>
      <c r="E172" s="18"/>
      <c r="F172" s="18"/>
      <c r="G172" s="18"/>
      <c r="H172" s="20"/>
      <c r="I172" s="20"/>
      <c r="J172" s="18" t="str">
        <f t="shared" si="37"/>
        <v/>
      </c>
      <c r="K172" s="21"/>
      <c r="L172" s="22"/>
      <c r="M172" s="23" t="str">
        <f t="shared" si="38"/>
        <v/>
      </c>
      <c r="N172" s="21"/>
      <c r="O172" s="23" t="str">
        <f t="shared" si="39"/>
        <v/>
      </c>
      <c r="P172" s="18" t="str">
        <f t="shared" si="40"/>
        <v/>
      </c>
      <c r="Q172" s="18" t="str">
        <f t="shared" si="41"/>
        <v/>
      </c>
      <c r="R172" s="18"/>
    </row>
    <row r="173" spans="2:18">
      <c r="B173" s="18"/>
      <c r="C173" s="19">
        <f t="shared" ca="1" si="36"/>
        <v>0</v>
      </c>
      <c r="D173" s="18"/>
      <c r="E173" s="18"/>
      <c r="F173" s="18"/>
      <c r="G173" s="18"/>
      <c r="H173" s="20"/>
      <c r="I173" s="20"/>
      <c r="J173" s="18" t="str">
        <f t="shared" si="37"/>
        <v/>
      </c>
      <c r="K173" s="21"/>
      <c r="L173" s="22"/>
      <c r="M173" s="23" t="str">
        <f t="shared" si="38"/>
        <v/>
      </c>
      <c r="N173" s="21"/>
      <c r="O173" s="23" t="str">
        <f t="shared" si="39"/>
        <v/>
      </c>
      <c r="P173" s="18" t="str">
        <f t="shared" si="40"/>
        <v/>
      </c>
      <c r="Q173" s="18" t="str">
        <f t="shared" si="41"/>
        <v/>
      </c>
      <c r="R173" s="18"/>
    </row>
    <row r="174" spans="2:18">
      <c r="B174" s="18"/>
      <c r="C174" s="19">
        <f t="shared" ca="1" si="36"/>
        <v>0</v>
      </c>
      <c r="D174" s="18"/>
      <c r="E174" s="18"/>
      <c r="F174" s="18"/>
      <c r="G174" s="18"/>
      <c r="H174" s="20"/>
      <c r="I174" s="20"/>
      <c r="J174" s="18" t="str">
        <f t="shared" si="37"/>
        <v/>
      </c>
      <c r="K174" s="21"/>
      <c r="L174" s="22"/>
      <c r="M174" s="23" t="str">
        <f t="shared" si="38"/>
        <v/>
      </c>
      <c r="N174" s="21"/>
      <c r="O174" s="23" t="str">
        <f t="shared" si="39"/>
        <v/>
      </c>
      <c r="P174" s="18" t="str">
        <f t="shared" si="40"/>
        <v/>
      </c>
      <c r="Q174" s="18" t="str">
        <f t="shared" si="41"/>
        <v/>
      </c>
      <c r="R174" s="18"/>
    </row>
    <row r="175" spans="2:18">
      <c r="B175" s="18"/>
      <c r="C175" s="19">
        <f t="shared" ca="1" si="36"/>
        <v>0</v>
      </c>
      <c r="D175" s="18"/>
      <c r="E175" s="18"/>
      <c r="F175" s="18"/>
      <c r="G175" s="18"/>
      <c r="H175" s="20"/>
      <c r="I175" s="20"/>
      <c r="J175" s="18" t="str">
        <f t="shared" si="37"/>
        <v/>
      </c>
      <c r="K175" s="21"/>
      <c r="L175" s="22"/>
      <c r="M175" s="23" t="str">
        <f t="shared" si="38"/>
        <v/>
      </c>
      <c r="N175" s="21"/>
      <c r="O175" s="23" t="str">
        <f t="shared" si="39"/>
        <v/>
      </c>
      <c r="P175" s="18" t="str">
        <f t="shared" si="40"/>
        <v/>
      </c>
      <c r="Q175" s="18" t="str">
        <f t="shared" si="41"/>
        <v/>
      </c>
      <c r="R175" s="18"/>
    </row>
    <row r="176" spans="2:18">
      <c r="B176" s="18"/>
      <c r="C176" s="19">
        <f t="shared" ca="1" si="36"/>
        <v>0</v>
      </c>
      <c r="D176" s="18"/>
      <c r="E176" s="18"/>
      <c r="F176" s="18"/>
      <c r="G176" s="18"/>
      <c r="H176" s="20"/>
      <c r="I176" s="20"/>
      <c r="J176" s="18" t="str">
        <f t="shared" si="37"/>
        <v/>
      </c>
      <c r="K176" s="21"/>
      <c r="L176" s="22"/>
      <c r="M176" s="23" t="str">
        <f t="shared" si="38"/>
        <v/>
      </c>
      <c r="N176" s="21"/>
      <c r="O176" s="23" t="str">
        <f t="shared" si="39"/>
        <v/>
      </c>
      <c r="P176" s="18" t="str">
        <f t="shared" si="40"/>
        <v/>
      </c>
      <c r="Q176" s="18" t="str">
        <f t="shared" si="41"/>
        <v/>
      </c>
      <c r="R176" s="18"/>
    </row>
    <row r="177" spans="2:18">
      <c r="B177" s="18"/>
      <c r="C177" s="19">
        <f t="shared" ca="1" si="36"/>
        <v>0</v>
      </c>
      <c r="D177" s="18"/>
      <c r="E177" s="18"/>
      <c r="F177" s="18"/>
      <c r="G177" s="18"/>
      <c r="H177" s="20"/>
      <c r="I177" s="20"/>
      <c r="J177" s="18" t="str">
        <f t="shared" si="37"/>
        <v/>
      </c>
      <c r="K177" s="21"/>
      <c r="L177" s="22"/>
      <c r="M177" s="23" t="str">
        <f t="shared" si="38"/>
        <v/>
      </c>
      <c r="N177" s="21"/>
      <c r="O177" s="23" t="str">
        <f t="shared" si="39"/>
        <v/>
      </c>
      <c r="P177" s="18" t="str">
        <f t="shared" si="40"/>
        <v/>
      </c>
      <c r="Q177" s="18" t="str">
        <f t="shared" si="41"/>
        <v/>
      </c>
      <c r="R177" s="18"/>
    </row>
    <row r="178" spans="2:18">
      <c r="B178" s="18"/>
      <c r="C178" s="19">
        <f t="shared" ca="1" si="36"/>
        <v>0</v>
      </c>
      <c r="D178" s="18"/>
      <c r="E178" s="18"/>
      <c r="F178" s="18"/>
      <c r="G178" s="18"/>
      <c r="H178" s="20"/>
      <c r="I178" s="20"/>
      <c r="J178" s="18" t="str">
        <f t="shared" si="37"/>
        <v/>
      </c>
      <c r="K178" s="21"/>
      <c r="L178" s="22"/>
      <c r="M178" s="23" t="str">
        <f t="shared" si="38"/>
        <v/>
      </c>
      <c r="N178" s="21"/>
      <c r="O178" s="23" t="str">
        <f t="shared" si="39"/>
        <v/>
      </c>
      <c r="P178" s="18" t="str">
        <f t="shared" si="40"/>
        <v/>
      </c>
      <c r="Q178" s="18" t="str">
        <f t="shared" si="41"/>
        <v/>
      </c>
      <c r="R178" s="18"/>
    </row>
    <row r="179" spans="2:18">
      <c r="B179" s="18"/>
      <c r="C179" s="19">
        <f t="shared" ca="1" si="36"/>
        <v>0</v>
      </c>
      <c r="D179" s="18"/>
      <c r="E179" s="18"/>
      <c r="F179" s="18"/>
      <c r="G179" s="18"/>
      <c r="H179" s="20"/>
      <c r="I179" s="20"/>
      <c r="J179" s="18" t="str">
        <f t="shared" si="37"/>
        <v/>
      </c>
      <c r="K179" s="21"/>
      <c r="L179" s="22"/>
      <c r="M179" s="23" t="str">
        <f t="shared" si="38"/>
        <v/>
      </c>
      <c r="N179" s="21"/>
      <c r="O179" s="23" t="str">
        <f t="shared" si="39"/>
        <v/>
      </c>
      <c r="P179" s="18" t="str">
        <f t="shared" si="40"/>
        <v/>
      </c>
      <c r="Q179" s="18" t="str">
        <f t="shared" si="41"/>
        <v/>
      </c>
      <c r="R179" s="18"/>
    </row>
    <row r="180" spans="2:18">
      <c r="B180" s="18"/>
      <c r="C180" s="19">
        <f t="shared" ca="1" si="36"/>
        <v>0</v>
      </c>
      <c r="D180" s="18"/>
      <c r="E180" s="18"/>
      <c r="F180" s="18"/>
      <c r="G180" s="18"/>
      <c r="H180" s="20"/>
      <c r="I180" s="20"/>
      <c r="J180" s="18" t="str">
        <f t="shared" si="37"/>
        <v/>
      </c>
      <c r="K180" s="21"/>
      <c r="L180" s="22"/>
      <c r="M180" s="23" t="str">
        <f t="shared" si="38"/>
        <v/>
      </c>
      <c r="N180" s="21"/>
      <c r="O180" s="23" t="str">
        <f t="shared" si="39"/>
        <v/>
      </c>
      <c r="P180" s="18" t="str">
        <f t="shared" si="40"/>
        <v/>
      </c>
      <c r="Q180" s="18" t="str">
        <f t="shared" si="41"/>
        <v/>
      </c>
      <c r="R180" s="18"/>
    </row>
    <row r="181" spans="2:18">
      <c r="B181" s="18"/>
      <c r="C181" s="19">
        <f t="shared" ca="1" si="36"/>
        <v>0</v>
      </c>
      <c r="D181" s="18"/>
      <c r="E181" s="18"/>
      <c r="F181" s="18"/>
      <c r="G181" s="18"/>
      <c r="H181" s="20"/>
      <c r="I181" s="20"/>
      <c r="J181" s="18" t="str">
        <f t="shared" si="37"/>
        <v/>
      </c>
      <c r="K181" s="21"/>
      <c r="L181" s="22"/>
      <c r="M181" s="23" t="str">
        <f t="shared" si="38"/>
        <v/>
      </c>
      <c r="N181" s="21"/>
      <c r="O181" s="23" t="str">
        <f t="shared" si="39"/>
        <v/>
      </c>
      <c r="P181" s="18" t="str">
        <f t="shared" si="40"/>
        <v/>
      </c>
      <c r="Q181" s="18" t="str">
        <f t="shared" si="41"/>
        <v/>
      </c>
      <c r="R181" s="18"/>
    </row>
    <row r="182" spans="2:18">
      <c r="B182" s="18"/>
      <c r="C182" s="19">
        <f t="shared" ca="1" si="36"/>
        <v>0</v>
      </c>
      <c r="D182" s="18"/>
      <c r="E182" s="18"/>
      <c r="F182" s="18"/>
      <c r="G182" s="18"/>
      <c r="H182" s="20"/>
      <c r="I182" s="20"/>
      <c r="J182" s="18" t="str">
        <f t="shared" si="37"/>
        <v/>
      </c>
      <c r="K182" s="21"/>
      <c r="L182" s="22"/>
      <c r="M182" s="23" t="str">
        <f t="shared" si="38"/>
        <v/>
      </c>
      <c r="N182" s="21"/>
      <c r="O182" s="23" t="str">
        <f t="shared" si="39"/>
        <v/>
      </c>
      <c r="P182" s="18" t="str">
        <f t="shared" si="40"/>
        <v/>
      </c>
      <c r="Q182" s="18" t="str">
        <f t="shared" si="41"/>
        <v/>
      </c>
      <c r="R182" s="18"/>
    </row>
    <row r="183" spans="2:18">
      <c r="B183" s="18"/>
      <c r="C183" s="19">
        <f t="shared" ca="1" si="36"/>
        <v>0</v>
      </c>
      <c r="D183" s="18"/>
      <c r="E183" s="18"/>
      <c r="F183" s="18"/>
      <c r="G183" s="18"/>
      <c r="H183" s="20"/>
      <c r="I183" s="20"/>
      <c r="J183" s="18" t="str">
        <f t="shared" si="37"/>
        <v/>
      </c>
      <c r="K183" s="21"/>
      <c r="L183" s="22"/>
      <c r="M183" s="23" t="str">
        <f t="shared" si="38"/>
        <v/>
      </c>
      <c r="N183" s="21"/>
      <c r="O183" s="23" t="str">
        <f t="shared" si="39"/>
        <v/>
      </c>
      <c r="P183" s="18" t="str">
        <f t="shared" si="40"/>
        <v/>
      </c>
      <c r="Q183" s="18" t="str">
        <f t="shared" si="41"/>
        <v/>
      </c>
      <c r="R183" s="18"/>
    </row>
    <row r="184" spans="2:18">
      <c r="B184" s="18"/>
      <c r="C184" s="19">
        <f t="shared" ca="1" si="36"/>
        <v>0</v>
      </c>
      <c r="D184" s="18"/>
      <c r="E184" s="18"/>
      <c r="F184" s="18"/>
      <c r="G184" s="18"/>
      <c r="H184" s="20"/>
      <c r="I184" s="20"/>
      <c r="J184" s="18" t="str">
        <f t="shared" si="37"/>
        <v/>
      </c>
      <c r="K184" s="21"/>
      <c r="L184" s="22"/>
      <c r="M184" s="23" t="str">
        <f t="shared" si="38"/>
        <v/>
      </c>
      <c r="N184" s="21"/>
      <c r="O184" s="23" t="str">
        <f t="shared" si="39"/>
        <v/>
      </c>
      <c r="P184" s="18" t="str">
        <f t="shared" si="40"/>
        <v/>
      </c>
      <c r="Q184" s="18" t="str">
        <f t="shared" si="41"/>
        <v/>
      </c>
      <c r="R184" s="18"/>
    </row>
    <row r="185" spans="2:18">
      <c r="B185" s="18"/>
      <c r="C185" s="19">
        <f t="shared" ca="1" si="36"/>
        <v>0</v>
      </c>
      <c r="D185" s="18"/>
      <c r="E185" s="18"/>
      <c r="F185" s="18"/>
      <c r="G185" s="18"/>
      <c r="H185" s="20"/>
      <c r="I185" s="20"/>
      <c r="J185" s="18" t="str">
        <f t="shared" si="37"/>
        <v/>
      </c>
      <c r="K185" s="21"/>
      <c r="L185" s="22"/>
      <c r="M185" s="23" t="str">
        <f t="shared" si="38"/>
        <v/>
      </c>
      <c r="N185" s="21"/>
      <c r="O185" s="23" t="str">
        <f t="shared" si="39"/>
        <v/>
      </c>
      <c r="P185" s="18" t="str">
        <f t="shared" si="40"/>
        <v/>
      </c>
      <c r="Q185" s="18" t="str">
        <f t="shared" si="41"/>
        <v/>
      </c>
      <c r="R185" s="18"/>
    </row>
    <row r="186" spans="2:18">
      <c r="B186" s="18"/>
      <c r="C186" s="19">
        <f t="shared" ca="1" si="36"/>
        <v>0</v>
      </c>
      <c r="D186" s="18"/>
      <c r="E186" s="18"/>
      <c r="F186" s="18"/>
      <c r="G186" s="18"/>
      <c r="H186" s="20"/>
      <c r="I186" s="20"/>
      <c r="J186" s="18" t="str">
        <f t="shared" si="37"/>
        <v/>
      </c>
      <c r="K186" s="21"/>
      <c r="L186" s="22"/>
      <c r="M186" s="23" t="str">
        <f t="shared" si="38"/>
        <v/>
      </c>
      <c r="N186" s="21"/>
      <c r="O186" s="23" t="str">
        <f t="shared" si="39"/>
        <v/>
      </c>
      <c r="P186" s="18" t="str">
        <f t="shared" si="40"/>
        <v/>
      </c>
      <c r="Q186" s="18" t="str">
        <f t="shared" si="41"/>
        <v/>
      </c>
      <c r="R186" s="18"/>
    </row>
    <row r="187" spans="2:18">
      <c r="B187" s="18"/>
      <c r="C187" s="19">
        <f t="shared" ca="1" si="36"/>
        <v>0</v>
      </c>
      <c r="D187" s="18"/>
      <c r="E187" s="18"/>
      <c r="F187" s="18"/>
      <c r="G187" s="18"/>
      <c r="H187" s="20"/>
      <c r="I187" s="20"/>
      <c r="J187" s="18" t="str">
        <f t="shared" si="37"/>
        <v/>
      </c>
      <c r="K187" s="21"/>
      <c r="L187" s="22"/>
      <c r="M187" s="23" t="str">
        <f t="shared" si="38"/>
        <v/>
      </c>
      <c r="N187" s="21"/>
      <c r="O187" s="23" t="str">
        <f t="shared" si="39"/>
        <v/>
      </c>
      <c r="P187" s="18" t="str">
        <f t="shared" si="40"/>
        <v/>
      </c>
      <c r="Q187" s="18" t="str">
        <f t="shared" si="41"/>
        <v/>
      </c>
      <c r="R187" s="18"/>
    </row>
    <row r="188" spans="2:18">
      <c r="B188" s="18"/>
      <c r="C188" s="19">
        <f t="shared" ca="1" si="36"/>
        <v>0</v>
      </c>
      <c r="D188" s="18"/>
      <c r="E188" s="18"/>
      <c r="F188" s="18"/>
      <c r="G188" s="18"/>
      <c r="H188" s="20"/>
      <c r="I188" s="20"/>
      <c r="J188" s="18" t="str">
        <f t="shared" si="37"/>
        <v/>
      </c>
      <c r="K188" s="21"/>
      <c r="L188" s="22"/>
      <c r="M188" s="23" t="str">
        <f t="shared" si="38"/>
        <v/>
      </c>
      <c r="N188" s="21"/>
      <c r="O188" s="23" t="str">
        <f t="shared" si="39"/>
        <v/>
      </c>
      <c r="P188" s="18" t="str">
        <f t="shared" si="40"/>
        <v/>
      </c>
      <c r="Q188" s="18" t="str">
        <f t="shared" si="41"/>
        <v/>
      </c>
      <c r="R188" s="18"/>
    </row>
    <row r="189" spans="2:18">
      <c r="B189" s="18"/>
      <c r="C189" s="19">
        <f t="shared" ca="1" si="36"/>
        <v>0</v>
      </c>
      <c r="D189" s="18"/>
      <c r="E189" s="18"/>
      <c r="F189" s="18"/>
      <c r="G189" s="18"/>
      <c r="H189" s="20"/>
      <c r="I189" s="20"/>
      <c r="J189" s="18" t="str">
        <f t="shared" si="37"/>
        <v/>
      </c>
      <c r="K189" s="21"/>
      <c r="L189" s="22"/>
      <c r="M189" s="23" t="str">
        <f t="shared" si="38"/>
        <v/>
      </c>
      <c r="N189" s="21"/>
      <c r="O189" s="23" t="str">
        <f t="shared" si="39"/>
        <v/>
      </c>
      <c r="P189" s="18" t="str">
        <f t="shared" si="40"/>
        <v/>
      </c>
      <c r="Q189" s="18" t="str">
        <f t="shared" si="41"/>
        <v/>
      </c>
      <c r="R189" s="18"/>
    </row>
    <row r="190" spans="2:18">
      <c r="B190" s="18"/>
      <c r="C190" s="19">
        <f t="shared" ca="1" si="36"/>
        <v>0</v>
      </c>
      <c r="D190" s="18"/>
      <c r="E190" s="18"/>
      <c r="F190" s="18"/>
      <c r="G190" s="18"/>
      <c r="H190" s="20"/>
      <c r="I190" s="20"/>
      <c r="J190" s="18" t="str">
        <f t="shared" si="37"/>
        <v/>
      </c>
      <c r="K190" s="21"/>
      <c r="L190" s="22"/>
      <c r="M190" s="23" t="str">
        <f t="shared" si="38"/>
        <v/>
      </c>
      <c r="N190" s="21"/>
      <c r="O190" s="23" t="str">
        <f t="shared" si="39"/>
        <v/>
      </c>
      <c r="P190" s="18" t="str">
        <f t="shared" si="40"/>
        <v/>
      </c>
      <c r="Q190" s="18" t="str">
        <f t="shared" si="41"/>
        <v/>
      </c>
      <c r="R190" s="18"/>
    </row>
    <row r="191" spans="2:18">
      <c r="B191" s="18"/>
      <c r="C191" s="19">
        <f t="shared" ca="1" si="36"/>
        <v>0</v>
      </c>
      <c r="D191" s="18"/>
      <c r="E191" s="18"/>
      <c r="F191" s="18"/>
      <c r="G191" s="18"/>
      <c r="H191" s="20"/>
      <c r="I191" s="20"/>
      <c r="J191" s="18" t="str">
        <f t="shared" si="37"/>
        <v/>
      </c>
      <c r="K191" s="21"/>
      <c r="L191" s="22"/>
      <c r="M191" s="23" t="str">
        <f t="shared" si="38"/>
        <v/>
      </c>
      <c r="N191" s="21"/>
      <c r="O191" s="23" t="str">
        <f t="shared" si="39"/>
        <v/>
      </c>
      <c r="P191" s="18" t="str">
        <f t="shared" si="40"/>
        <v/>
      </c>
      <c r="Q191" s="18" t="str">
        <f t="shared" si="41"/>
        <v/>
      </c>
      <c r="R191" s="18"/>
    </row>
    <row r="192" spans="2:18">
      <c r="B192" s="18"/>
      <c r="C192" s="19">
        <f t="shared" ca="1" si="36"/>
        <v>0</v>
      </c>
      <c r="D192" s="18"/>
      <c r="E192" s="18"/>
      <c r="F192" s="18"/>
      <c r="G192" s="18"/>
      <c r="H192" s="20"/>
      <c r="I192" s="20"/>
      <c r="J192" s="18" t="str">
        <f t="shared" si="37"/>
        <v/>
      </c>
      <c r="K192" s="21"/>
      <c r="L192" s="22"/>
      <c r="M192" s="23" t="str">
        <f t="shared" si="38"/>
        <v/>
      </c>
      <c r="N192" s="21"/>
      <c r="O192" s="23" t="str">
        <f t="shared" si="39"/>
        <v/>
      </c>
      <c r="P192" s="18" t="str">
        <f t="shared" si="40"/>
        <v/>
      </c>
      <c r="Q192" s="18" t="str">
        <f t="shared" si="41"/>
        <v/>
      </c>
      <c r="R192" s="18"/>
    </row>
    <row r="193" spans="2:18">
      <c r="B193" s="18"/>
      <c r="C193" s="19">
        <f t="shared" ca="1" si="36"/>
        <v>0</v>
      </c>
      <c r="D193" s="18"/>
      <c r="E193" s="18"/>
      <c r="F193" s="18"/>
      <c r="G193" s="18"/>
      <c r="H193" s="20"/>
      <c r="I193" s="20"/>
      <c r="J193" s="18" t="str">
        <f t="shared" si="37"/>
        <v/>
      </c>
      <c r="K193" s="21"/>
      <c r="L193" s="22"/>
      <c r="M193" s="23" t="str">
        <f t="shared" si="38"/>
        <v/>
      </c>
      <c r="N193" s="21"/>
      <c r="O193" s="23" t="str">
        <f t="shared" si="39"/>
        <v/>
      </c>
      <c r="P193" s="18" t="str">
        <f t="shared" si="40"/>
        <v/>
      </c>
      <c r="Q193" s="18" t="str">
        <f t="shared" si="41"/>
        <v/>
      </c>
      <c r="R193" s="18"/>
    </row>
    <row r="194" spans="2:18">
      <c r="B194" s="18"/>
      <c r="C194" s="19">
        <f t="shared" ca="1" si="36"/>
        <v>0</v>
      </c>
      <c r="D194" s="18"/>
      <c r="E194" s="18"/>
      <c r="F194" s="18"/>
      <c r="G194" s="18"/>
      <c r="H194" s="20"/>
      <c r="I194" s="20"/>
      <c r="J194" s="18" t="str">
        <f t="shared" si="37"/>
        <v/>
      </c>
      <c r="K194" s="21"/>
      <c r="L194" s="22"/>
      <c r="M194" s="23" t="str">
        <f t="shared" si="38"/>
        <v/>
      </c>
      <c r="N194" s="21"/>
      <c r="O194" s="23" t="str">
        <f t="shared" si="39"/>
        <v/>
      </c>
      <c r="P194" s="18" t="str">
        <f t="shared" si="40"/>
        <v/>
      </c>
      <c r="Q194" s="18" t="str">
        <f t="shared" si="41"/>
        <v/>
      </c>
      <c r="R194" s="18"/>
    </row>
    <row r="195" spans="2:18">
      <c r="B195" s="18"/>
      <c r="C195" s="19">
        <f t="shared" ca="1" si="36"/>
        <v>0</v>
      </c>
      <c r="D195" s="18"/>
      <c r="E195" s="18"/>
      <c r="F195" s="18"/>
      <c r="G195" s="18"/>
      <c r="H195" s="20"/>
      <c r="I195" s="20"/>
      <c r="J195" s="18" t="str">
        <f t="shared" si="37"/>
        <v/>
      </c>
      <c r="K195" s="21"/>
      <c r="L195" s="22"/>
      <c r="M195" s="23" t="str">
        <f t="shared" si="38"/>
        <v/>
      </c>
      <c r="N195" s="21"/>
      <c r="O195" s="23" t="str">
        <f t="shared" si="39"/>
        <v/>
      </c>
      <c r="P195" s="18" t="str">
        <f t="shared" si="40"/>
        <v/>
      </c>
      <c r="Q195" s="18" t="str">
        <f t="shared" si="41"/>
        <v/>
      </c>
      <c r="R195" s="18"/>
    </row>
    <row r="196" spans="2:18">
      <c r="B196" s="18"/>
      <c r="C196" s="19">
        <f t="shared" ca="1" si="36"/>
        <v>0</v>
      </c>
      <c r="D196" s="18"/>
      <c r="E196" s="18"/>
      <c r="F196" s="18"/>
      <c r="G196" s="18"/>
      <c r="H196" s="20"/>
      <c r="I196" s="20"/>
      <c r="J196" s="18" t="str">
        <f t="shared" si="37"/>
        <v/>
      </c>
      <c r="K196" s="21"/>
      <c r="L196" s="22"/>
      <c r="M196" s="23" t="str">
        <f t="shared" si="38"/>
        <v/>
      </c>
      <c r="N196" s="21"/>
      <c r="O196" s="23" t="str">
        <f t="shared" si="39"/>
        <v/>
      </c>
      <c r="P196" s="18" t="str">
        <f t="shared" si="40"/>
        <v/>
      </c>
      <c r="Q196" s="18" t="str">
        <f t="shared" si="41"/>
        <v/>
      </c>
      <c r="R196" s="18"/>
    </row>
    <row r="197" spans="2:18">
      <c r="B197" s="18"/>
      <c r="C197" s="19">
        <f t="shared" ca="1" si="36"/>
        <v>0</v>
      </c>
      <c r="D197" s="18"/>
      <c r="E197" s="18"/>
      <c r="F197" s="18"/>
      <c r="G197" s="18"/>
      <c r="H197" s="20"/>
      <c r="I197" s="20"/>
      <c r="J197" s="18" t="str">
        <f t="shared" si="37"/>
        <v/>
      </c>
      <c r="K197" s="21"/>
      <c r="L197" s="22"/>
      <c r="M197" s="23" t="str">
        <f t="shared" si="38"/>
        <v/>
      </c>
      <c r="N197" s="21"/>
      <c r="O197" s="23" t="str">
        <f t="shared" si="39"/>
        <v/>
      </c>
      <c r="P197" s="18" t="str">
        <f t="shared" si="40"/>
        <v/>
      </c>
      <c r="Q197" s="18" t="str">
        <f t="shared" si="41"/>
        <v/>
      </c>
      <c r="R197" s="18"/>
    </row>
    <row r="198" spans="2:18">
      <c r="B198" s="18"/>
      <c r="C198" s="19">
        <f t="shared" ref="C198:C200" ca="1" si="42">IF(D198="",0,IF(C198=0,TODAY(),C198))</f>
        <v>0</v>
      </c>
      <c r="D198" s="18"/>
      <c r="E198" s="18"/>
      <c r="F198" s="18"/>
      <c r="G198" s="18"/>
      <c r="H198" s="20"/>
      <c r="I198" s="20"/>
      <c r="J198" s="18" t="str">
        <f t="shared" ref="J198:J200" si="43">IF(H198="","",H198-I198)</f>
        <v/>
      </c>
      <c r="K198" s="21"/>
      <c r="L198" s="22"/>
      <c r="M198" s="23" t="str">
        <f t="shared" ref="M198:M200" si="44">IF(K198="","",K198*(1-L198))</f>
        <v/>
      </c>
      <c r="N198" s="21"/>
      <c r="O198" s="23" t="str">
        <f t="shared" ref="O198:O200" si="45">IF(M198="","",M198-N198)</f>
        <v/>
      </c>
      <c r="P198" s="18" t="str">
        <f t="shared" ref="P198:P200" si="46">IF(K198="","",IF(O198&lt;=0,"مدفوع بالكامل",IF(N198=0,"لم يدفع","دفع جزئي")))</f>
        <v/>
      </c>
      <c r="Q198" s="18" t="str">
        <f t="shared" si="41"/>
        <v/>
      </c>
      <c r="R198" s="18"/>
    </row>
    <row r="199" spans="2:18">
      <c r="B199" s="18"/>
      <c r="C199" s="19">
        <f t="shared" ca="1" si="42"/>
        <v>0</v>
      </c>
      <c r="D199" s="18"/>
      <c r="E199" s="18"/>
      <c r="F199" s="18"/>
      <c r="G199" s="18"/>
      <c r="H199" s="20"/>
      <c r="I199" s="20"/>
      <c r="J199" s="18" t="str">
        <f t="shared" si="43"/>
        <v/>
      </c>
      <c r="K199" s="21"/>
      <c r="L199" s="22"/>
      <c r="M199" s="23" t="str">
        <f t="shared" si="44"/>
        <v/>
      </c>
      <c r="N199" s="21"/>
      <c r="O199" s="23" t="str">
        <f t="shared" si="45"/>
        <v/>
      </c>
      <c r="P199" s="18" t="str">
        <f t="shared" si="46"/>
        <v/>
      </c>
      <c r="Q199" s="18" t="str">
        <f t="shared" si="41"/>
        <v/>
      </c>
      <c r="R199" s="18"/>
    </row>
    <row r="200" spans="2:18">
      <c r="B200" s="18"/>
      <c r="C200" s="19">
        <f t="shared" ca="1" si="42"/>
        <v>0</v>
      </c>
      <c r="D200" s="18"/>
      <c r="E200" s="18"/>
      <c r="F200" s="18"/>
      <c r="G200" s="18"/>
      <c r="H200" s="20"/>
      <c r="I200" s="20"/>
      <c r="J200" s="18" t="str">
        <f t="shared" si="43"/>
        <v/>
      </c>
      <c r="K200" s="21"/>
      <c r="L200" s="22"/>
      <c r="M200" s="23" t="str">
        <f t="shared" si="44"/>
        <v/>
      </c>
      <c r="N200" s="21"/>
      <c r="O200" s="23" t="str">
        <f t="shared" si="45"/>
        <v/>
      </c>
      <c r="P200" s="18" t="str">
        <f t="shared" si="46"/>
        <v/>
      </c>
      <c r="Q200" s="18" t="str">
        <f t="shared" si="41"/>
        <v/>
      </c>
      <c r="R200" s="18"/>
    </row>
  </sheetData>
  <pageMargins left="0.75" right="0.75" top="1" bottom="1" header="0.511811023622047" footer="0.511811023622047"/>
  <pageSetup paperSize="9" orientation="portrait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xr:uid="{00000000-0002-0000-0100-000000000000}">
          <x14:formula1>
            <xm:f>الموظفين!$B$6:$B$105</xm:f>
          </x14:formula1>
          <x14:formula2>
            <xm:f>0</xm:f>
          </x14:formula2>
          <xm:sqref>F6:F200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50"/>
  <sheetViews>
    <sheetView showGridLines="0" rightToLeft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E7" sqref="E7"/>
    </sheetView>
  </sheetViews>
  <sheetFormatPr defaultColWidth="8.6328125" defaultRowHeight="14.5"/>
  <cols>
    <col min="1" max="1" width="3" customWidth="1"/>
    <col min="2" max="2" width="14" customWidth="1"/>
    <col min="3" max="3" width="26" customWidth="1"/>
    <col min="4" max="4" width="14" customWidth="1"/>
    <col min="5" max="5" width="12" customWidth="1"/>
    <col min="6" max="6" width="15" customWidth="1"/>
    <col min="7" max="7" width="30" customWidth="1"/>
    <col min="8" max="8" width="14" customWidth="1"/>
  </cols>
  <sheetData>
    <row r="2" spans="2:8" ht="20">
      <c r="B2" s="1" t="s">
        <v>36</v>
      </c>
    </row>
    <row r="3" spans="2:8">
      <c r="B3" s="2" t="s">
        <v>37</v>
      </c>
    </row>
    <row r="5" spans="2:8" ht="30" customHeight="1">
      <c r="B5" s="11" t="s">
        <v>19</v>
      </c>
      <c r="C5" s="11" t="s">
        <v>38</v>
      </c>
      <c r="D5" s="11" t="s">
        <v>39</v>
      </c>
      <c r="E5" s="11" t="s">
        <v>40</v>
      </c>
      <c r="F5" s="11" t="s">
        <v>41</v>
      </c>
      <c r="G5" s="11" t="s">
        <v>42</v>
      </c>
      <c r="H5" s="24">
        <f>SUM(F6:F150)</f>
        <v>11300</v>
      </c>
    </row>
    <row r="6" spans="2:8">
      <c r="B6" s="27">
        <v>46235</v>
      </c>
      <c r="C6" s="12" t="s">
        <v>44</v>
      </c>
      <c r="D6" s="12" t="s">
        <v>45</v>
      </c>
      <c r="E6" s="12">
        <v>7</v>
      </c>
      <c r="F6" s="15">
        <v>500</v>
      </c>
      <c r="G6" s="12" t="s">
        <v>46</v>
      </c>
    </row>
    <row r="7" spans="2:8">
      <c r="B7" s="26">
        <v>46232</v>
      </c>
      <c r="C7" s="20" t="s">
        <v>65</v>
      </c>
      <c r="D7" s="20" t="s">
        <v>66</v>
      </c>
      <c r="E7" s="20"/>
      <c r="F7" s="21">
        <v>10800</v>
      </c>
      <c r="G7" s="20"/>
    </row>
    <row r="8" spans="2:8">
      <c r="B8" s="20"/>
      <c r="C8" s="20"/>
      <c r="D8" s="20"/>
      <c r="E8" s="20"/>
      <c r="F8" s="21"/>
      <c r="G8" s="20"/>
    </row>
    <row r="9" spans="2:8">
      <c r="B9" s="20"/>
      <c r="C9" s="20"/>
      <c r="D9" s="20"/>
      <c r="E9" s="20"/>
      <c r="F9" s="21"/>
      <c r="G9" s="20"/>
    </row>
    <row r="10" spans="2:8">
      <c r="B10" s="20"/>
      <c r="C10" s="20"/>
      <c r="D10" s="20"/>
      <c r="E10" s="20"/>
      <c r="F10" s="21"/>
      <c r="G10" s="20"/>
    </row>
    <row r="11" spans="2:8">
      <c r="B11" s="20"/>
      <c r="C11" s="20"/>
      <c r="D11" s="20"/>
      <c r="E11" s="20"/>
      <c r="F11" s="21"/>
      <c r="G11" s="20"/>
    </row>
    <row r="12" spans="2:8">
      <c r="B12" s="20"/>
      <c r="C12" s="20"/>
      <c r="D12" s="20"/>
      <c r="E12" s="20"/>
      <c r="F12" s="21"/>
      <c r="G12" s="20"/>
    </row>
    <row r="13" spans="2:8">
      <c r="B13" s="20"/>
      <c r="C13" s="20"/>
      <c r="D13" s="20"/>
      <c r="E13" s="20"/>
      <c r="F13" s="21"/>
      <c r="G13" s="20"/>
    </row>
    <row r="14" spans="2:8">
      <c r="B14" s="20"/>
      <c r="C14" s="20"/>
      <c r="D14" s="20"/>
      <c r="E14" s="20"/>
      <c r="F14" s="21"/>
      <c r="G14" s="20"/>
    </row>
    <row r="15" spans="2:8">
      <c r="B15" s="20"/>
      <c r="C15" s="20"/>
      <c r="D15" s="20"/>
      <c r="E15" s="20"/>
      <c r="F15" s="21"/>
      <c r="G15" s="20"/>
    </row>
    <row r="16" spans="2:8">
      <c r="B16" s="20"/>
      <c r="C16" s="20"/>
      <c r="D16" s="20"/>
      <c r="E16" s="20"/>
      <c r="F16" s="21"/>
      <c r="G16" s="20"/>
    </row>
    <row r="17" spans="2:7">
      <c r="B17" s="20"/>
      <c r="C17" s="20"/>
      <c r="D17" s="20"/>
      <c r="E17" s="20"/>
      <c r="F17" s="21"/>
      <c r="G17" s="20"/>
    </row>
    <row r="18" spans="2:7">
      <c r="B18" s="20"/>
      <c r="C18" s="20"/>
      <c r="D18" s="20"/>
      <c r="E18" s="20"/>
      <c r="F18" s="21"/>
      <c r="G18" s="20"/>
    </row>
    <row r="19" spans="2:7">
      <c r="B19" s="20"/>
      <c r="C19" s="20"/>
      <c r="D19" s="20"/>
      <c r="E19" s="20"/>
      <c r="F19" s="21"/>
      <c r="G19" s="20"/>
    </row>
    <row r="20" spans="2:7">
      <c r="B20" s="20"/>
      <c r="C20" s="20"/>
      <c r="D20" s="20"/>
      <c r="E20" s="20"/>
      <c r="F20" s="21"/>
      <c r="G20" s="20"/>
    </row>
    <row r="21" spans="2:7">
      <c r="B21" s="20"/>
      <c r="C21" s="20"/>
      <c r="D21" s="20"/>
      <c r="E21" s="20"/>
      <c r="F21" s="21"/>
      <c r="G21" s="20"/>
    </row>
    <row r="22" spans="2:7">
      <c r="B22" s="20"/>
      <c r="C22" s="20"/>
      <c r="D22" s="20"/>
      <c r="E22" s="20"/>
      <c r="F22" s="21"/>
      <c r="G22" s="20"/>
    </row>
    <row r="23" spans="2:7">
      <c r="B23" s="20"/>
      <c r="C23" s="20"/>
      <c r="D23" s="20"/>
      <c r="E23" s="20"/>
      <c r="F23" s="21"/>
      <c r="G23" s="20"/>
    </row>
    <row r="24" spans="2:7">
      <c r="B24" s="20"/>
      <c r="C24" s="20"/>
      <c r="D24" s="20"/>
      <c r="E24" s="20"/>
      <c r="F24" s="21"/>
      <c r="G24" s="20"/>
    </row>
    <row r="25" spans="2:7">
      <c r="B25" s="20"/>
      <c r="C25" s="20"/>
      <c r="D25" s="20"/>
      <c r="E25" s="20"/>
      <c r="F25" s="21"/>
      <c r="G25" s="20"/>
    </row>
    <row r="26" spans="2:7">
      <c r="B26" s="20"/>
      <c r="C26" s="20"/>
      <c r="D26" s="20"/>
      <c r="E26" s="20"/>
      <c r="F26" s="21"/>
      <c r="G26" s="20"/>
    </row>
    <row r="27" spans="2:7">
      <c r="B27" s="20"/>
      <c r="C27" s="20"/>
      <c r="D27" s="20"/>
      <c r="E27" s="20"/>
      <c r="F27" s="21"/>
      <c r="G27" s="20"/>
    </row>
    <row r="28" spans="2:7">
      <c r="B28" s="20"/>
      <c r="C28" s="20"/>
      <c r="D28" s="20"/>
      <c r="E28" s="20"/>
      <c r="F28" s="21"/>
      <c r="G28" s="20"/>
    </row>
    <row r="29" spans="2:7">
      <c r="B29" s="20"/>
      <c r="C29" s="20"/>
      <c r="D29" s="20"/>
      <c r="E29" s="20"/>
      <c r="F29" s="21"/>
      <c r="G29" s="20"/>
    </row>
    <row r="30" spans="2:7">
      <c r="B30" s="20"/>
      <c r="C30" s="20"/>
      <c r="D30" s="20"/>
      <c r="E30" s="20"/>
      <c r="F30" s="21"/>
      <c r="G30" s="20"/>
    </row>
    <row r="31" spans="2:7">
      <c r="B31" s="20"/>
      <c r="C31" s="20"/>
      <c r="D31" s="20"/>
      <c r="E31" s="20"/>
      <c r="F31" s="21"/>
      <c r="G31" s="20"/>
    </row>
    <row r="32" spans="2:7">
      <c r="B32" s="20"/>
      <c r="C32" s="20"/>
      <c r="D32" s="20"/>
      <c r="E32" s="20"/>
      <c r="F32" s="21"/>
      <c r="G32" s="20"/>
    </row>
    <row r="33" spans="2:7">
      <c r="B33" s="20"/>
      <c r="C33" s="20"/>
      <c r="D33" s="20"/>
      <c r="E33" s="20"/>
      <c r="F33" s="21"/>
      <c r="G33" s="20"/>
    </row>
    <row r="34" spans="2:7">
      <c r="B34" s="20"/>
      <c r="C34" s="20"/>
      <c r="D34" s="20"/>
      <c r="E34" s="20"/>
      <c r="F34" s="21"/>
      <c r="G34" s="20"/>
    </row>
    <row r="35" spans="2:7">
      <c r="B35" s="20"/>
      <c r="C35" s="20"/>
      <c r="D35" s="20"/>
      <c r="E35" s="20"/>
      <c r="F35" s="21"/>
      <c r="G35" s="20"/>
    </row>
    <row r="36" spans="2:7">
      <c r="B36" s="20"/>
      <c r="C36" s="20"/>
      <c r="D36" s="20"/>
      <c r="E36" s="20"/>
      <c r="F36" s="21"/>
      <c r="G36" s="20"/>
    </row>
    <row r="37" spans="2:7">
      <c r="B37" s="20"/>
      <c r="C37" s="20"/>
      <c r="D37" s="20"/>
      <c r="E37" s="20"/>
      <c r="F37" s="21"/>
      <c r="G37" s="20"/>
    </row>
    <row r="38" spans="2:7">
      <c r="B38" s="20"/>
      <c r="C38" s="20"/>
      <c r="D38" s="20"/>
      <c r="E38" s="20"/>
      <c r="F38" s="21"/>
      <c r="G38" s="20"/>
    </row>
    <row r="39" spans="2:7">
      <c r="B39" s="20"/>
      <c r="C39" s="20"/>
      <c r="D39" s="20"/>
      <c r="E39" s="20"/>
      <c r="F39" s="21"/>
      <c r="G39" s="20"/>
    </row>
    <row r="40" spans="2:7">
      <c r="B40" s="20"/>
      <c r="C40" s="20"/>
      <c r="D40" s="20"/>
      <c r="E40" s="20"/>
      <c r="F40" s="21"/>
      <c r="G40" s="20"/>
    </row>
    <row r="41" spans="2:7">
      <c r="B41" s="20"/>
      <c r="C41" s="20"/>
      <c r="D41" s="20"/>
      <c r="E41" s="20"/>
      <c r="F41" s="21"/>
      <c r="G41" s="20"/>
    </row>
    <row r="42" spans="2:7">
      <c r="B42" s="20"/>
      <c r="C42" s="20"/>
      <c r="D42" s="20"/>
      <c r="E42" s="20"/>
      <c r="F42" s="21"/>
      <c r="G42" s="20"/>
    </row>
    <row r="43" spans="2:7">
      <c r="B43" s="20"/>
      <c r="C43" s="20"/>
      <c r="D43" s="20"/>
      <c r="E43" s="20"/>
      <c r="F43" s="21"/>
      <c r="G43" s="20"/>
    </row>
    <row r="44" spans="2:7">
      <c r="B44" s="20"/>
      <c r="C44" s="20"/>
      <c r="D44" s="20"/>
      <c r="E44" s="20"/>
      <c r="F44" s="21"/>
      <c r="G44" s="20"/>
    </row>
    <row r="45" spans="2:7">
      <c r="B45" s="20"/>
      <c r="C45" s="20"/>
      <c r="D45" s="20"/>
      <c r="E45" s="20"/>
      <c r="F45" s="21"/>
      <c r="G45" s="20"/>
    </row>
    <row r="46" spans="2:7">
      <c r="B46" s="20"/>
      <c r="C46" s="20"/>
      <c r="D46" s="20"/>
      <c r="E46" s="20"/>
      <c r="F46" s="21"/>
      <c r="G46" s="20"/>
    </row>
    <row r="47" spans="2:7">
      <c r="B47" s="20"/>
      <c r="C47" s="20"/>
      <c r="D47" s="20"/>
      <c r="E47" s="20"/>
      <c r="F47" s="21"/>
      <c r="G47" s="20"/>
    </row>
    <row r="48" spans="2:7">
      <c r="B48" s="20"/>
      <c r="C48" s="20"/>
      <c r="D48" s="20"/>
      <c r="E48" s="20"/>
      <c r="F48" s="21"/>
      <c r="G48" s="20"/>
    </row>
    <row r="49" spans="2:7">
      <c r="B49" s="20"/>
      <c r="C49" s="20"/>
      <c r="D49" s="20"/>
      <c r="E49" s="20"/>
      <c r="F49" s="21"/>
      <c r="G49" s="20"/>
    </row>
    <row r="50" spans="2:7">
      <c r="B50" s="20"/>
      <c r="C50" s="20"/>
      <c r="D50" s="20"/>
      <c r="E50" s="20"/>
      <c r="F50" s="21"/>
      <c r="G50" s="20"/>
    </row>
    <row r="51" spans="2:7">
      <c r="B51" s="20"/>
      <c r="C51" s="20"/>
      <c r="D51" s="20"/>
      <c r="E51" s="20"/>
      <c r="F51" s="21"/>
      <c r="G51" s="20"/>
    </row>
    <row r="52" spans="2:7">
      <c r="B52" s="20"/>
      <c r="C52" s="20"/>
      <c r="D52" s="20"/>
      <c r="E52" s="20"/>
      <c r="F52" s="21"/>
      <c r="G52" s="20"/>
    </row>
    <row r="53" spans="2:7">
      <c r="B53" s="20"/>
      <c r="C53" s="20"/>
      <c r="D53" s="20"/>
      <c r="E53" s="20"/>
      <c r="F53" s="21"/>
      <c r="G53" s="20"/>
    </row>
    <row r="54" spans="2:7">
      <c r="B54" s="20"/>
      <c r="C54" s="20"/>
      <c r="D54" s="20"/>
      <c r="E54" s="20"/>
      <c r="F54" s="21"/>
      <c r="G54" s="20"/>
    </row>
    <row r="55" spans="2:7">
      <c r="B55" s="20"/>
      <c r="C55" s="20"/>
      <c r="D55" s="20"/>
      <c r="E55" s="20"/>
      <c r="F55" s="21"/>
      <c r="G55" s="20"/>
    </row>
    <row r="56" spans="2:7">
      <c r="B56" s="20"/>
      <c r="C56" s="20"/>
      <c r="D56" s="20"/>
      <c r="E56" s="20"/>
      <c r="F56" s="21"/>
      <c r="G56" s="20"/>
    </row>
    <row r="57" spans="2:7">
      <c r="B57" s="20"/>
      <c r="C57" s="20"/>
      <c r="D57" s="20"/>
      <c r="E57" s="20"/>
      <c r="F57" s="21"/>
      <c r="G57" s="20"/>
    </row>
    <row r="58" spans="2:7">
      <c r="B58" s="20"/>
      <c r="C58" s="20"/>
      <c r="D58" s="20"/>
      <c r="E58" s="20"/>
      <c r="F58" s="21"/>
      <c r="G58" s="20"/>
    </row>
    <row r="59" spans="2:7">
      <c r="B59" s="20"/>
      <c r="C59" s="20"/>
      <c r="D59" s="20"/>
      <c r="E59" s="20"/>
      <c r="F59" s="21"/>
      <c r="G59" s="20"/>
    </row>
    <row r="60" spans="2:7">
      <c r="B60" s="20"/>
      <c r="C60" s="20"/>
      <c r="D60" s="20"/>
      <c r="E60" s="20"/>
      <c r="F60" s="21"/>
      <c r="G60" s="20"/>
    </row>
    <row r="61" spans="2:7">
      <c r="B61" s="20"/>
      <c r="C61" s="20"/>
      <c r="D61" s="20"/>
      <c r="E61" s="20"/>
      <c r="F61" s="21"/>
      <c r="G61" s="20"/>
    </row>
    <row r="62" spans="2:7">
      <c r="B62" s="20"/>
      <c r="C62" s="20"/>
      <c r="D62" s="20"/>
      <c r="E62" s="20"/>
      <c r="F62" s="21"/>
      <c r="G62" s="20"/>
    </row>
    <row r="63" spans="2:7">
      <c r="B63" s="20"/>
      <c r="C63" s="20"/>
      <c r="D63" s="20"/>
      <c r="E63" s="20"/>
      <c r="F63" s="21"/>
      <c r="G63" s="20"/>
    </row>
    <row r="64" spans="2:7">
      <c r="B64" s="20"/>
      <c r="C64" s="20"/>
      <c r="D64" s="20"/>
      <c r="E64" s="20"/>
      <c r="F64" s="21"/>
      <c r="G64" s="20"/>
    </row>
    <row r="65" spans="2:7">
      <c r="B65" s="20"/>
      <c r="C65" s="20"/>
      <c r="D65" s="20"/>
      <c r="E65" s="20"/>
      <c r="F65" s="21"/>
      <c r="G65" s="20"/>
    </row>
    <row r="66" spans="2:7">
      <c r="B66" s="20"/>
      <c r="C66" s="20"/>
      <c r="D66" s="20"/>
      <c r="E66" s="20"/>
      <c r="F66" s="21"/>
      <c r="G66" s="20"/>
    </row>
    <row r="67" spans="2:7">
      <c r="B67" s="20"/>
      <c r="C67" s="20"/>
      <c r="D67" s="20"/>
      <c r="E67" s="20"/>
      <c r="F67" s="21"/>
      <c r="G67" s="20"/>
    </row>
    <row r="68" spans="2:7">
      <c r="B68" s="20"/>
      <c r="C68" s="20"/>
      <c r="D68" s="20"/>
      <c r="E68" s="20"/>
      <c r="F68" s="21"/>
      <c r="G68" s="20"/>
    </row>
    <row r="69" spans="2:7">
      <c r="B69" s="20"/>
      <c r="C69" s="20"/>
      <c r="D69" s="20"/>
      <c r="E69" s="20"/>
      <c r="F69" s="21"/>
      <c r="G69" s="20"/>
    </row>
    <row r="70" spans="2:7">
      <c r="B70" s="20"/>
      <c r="C70" s="20"/>
      <c r="D70" s="20"/>
      <c r="E70" s="20"/>
      <c r="F70" s="21"/>
      <c r="G70" s="20"/>
    </row>
    <row r="71" spans="2:7">
      <c r="B71" s="20"/>
      <c r="C71" s="20"/>
      <c r="D71" s="20"/>
      <c r="E71" s="20"/>
      <c r="F71" s="21"/>
      <c r="G71" s="20"/>
    </row>
    <row r="72" spans="2:7">
      <c r="B72" s="20"/>
      <c r="C72" s="20"/>
      <c r="D72" s="20"/>
      <c r="E72" s="20"/>
      <c r="F72" s="21"/>
      <c r="G72" s="20"/>
    </row>
    <row r="73" spans="2:7">
      <c r="B73" s="20"/>
      <c r="C73" s="20"/>
      <c r="D73" s="20"/>
      <c r="E73" s="20"/>
      <c r="F73" s="21"/>
      <c r="G73" s="20"/>
    </row>
    <row r="74" spans="2:7">
      <c r="B74" s="20"/>
      <c r="C74" s="20"/>
      <c r="D74" s="20"/>
      <c r="E74" s="20"/>
      <c r="F74" s="21"/>
      <c r="G74" s="20"/>
    </row>
    <row r="75" spans="2:7">
      <c r="B75" s="20"/>
      <c r="C75" s="20"/>
      <c r="D75" s="20"/>
      <c r="E75" s="20"/>
      <c r="F75" s="21"/>
      <c r="G75" s="20"/>
    </row>
    <row r="76" spans="2:7">
      <c r="B76" s="20"/>
      <c r="C76" s="20"/>
      <c r="D76" s="20"/>
      <c r="E76" s="20"/>
      <c r="F76" s="21"/>
      <c r="G76" s="20"/>
    </row>
    <row r="77" spans="2:7">
      <c r="B77" s="20"/>
      <c r="C77" s="20"/>
      <c r="D77" s="20"/>
      <c r="E77" s="20"/>
      <c r="F77" s="21"/>
      <c r="G77" s="20"/>
    </row>
    <row r="78" spans="2:7">
      <c r="B78" s="20"/>
      <c r="C78" s="20"/>
      <c r="D78" s="20"/>
      <c r="E78" s="20"/>
      <c r="F78" s="21"/>
      <c r="G78" s="20"/>
    </row>
    <row r="79" spans="2:7">
      <c r="B79" s="20"/>
      <c r="C79" s="20"/>
      <c r="D79" s="20"/>
      <c r="E79" s="20"/>
      <c r="F79" s="21"/>
      <c r="G79" s="20"/>
    </row>
    <row r="80" spans="2:7">
      <c r="B80" s="20"/>
      <c r="C80" s="20"/>
      <c r="D80" s="20"/>
      <c r="E80" s="20"/>
      <c r="F80" s="21"/>
      <c r="G80" s="20"/>
    </row>
    <row r="81" spans="2:7">
      <c r="B81" s="20"/>
      <c r="C81" s="20"/>
      <c r="D81" s="20"/>
      <c r="E81" s="20"/>
      <c r="F81" s="21"/>
      <c r="G81" s="20"/>
    </row>
    <row r="82" spans="2:7">
      <c r="B82" s="20"/>
      <c r="C82" s="20"/>
      <c r="D82" s="20"/>
      <c r="E82" s="20"/>
      <c r="F82" s="21"/>
      <c r="G82" s="20"/>
    </row>
    <row r="83" spans="2:7">
      <c r="B83" s="20"/>
      <c r="C83" s="20"/>
      <c r="D83" s="20"/>
      <c r="E83" s="20"/>
      <c r="F83" s="21"/>
      <c r="G83" s="20"/>
    </row>
    <row r="84" spans="2:7">
      <c r="B84" s="20"/>
      <c r="C84" s="20"/>
      <c r="D84" s="20"/>
      <c r="E84" s="20"/>
      <c r="F84" s="21"/>
      <c r="G84" s="20"/>
    </row>
    <row r="85" spans="2:7">
      <c r="B85" s="20"/>
      <c r="C85" s="20"/>
      <c r="D85" s="20"/>
      <c r="E85" s="20"/>
      <c r="F85" s="21"/>
      <c r="G85" s="20"/>
    </row>
    <row r="86" spans="2:7">
      <c r="B86" s="20"/>
      <c r="C86" s="20"/>
      <c r="D86" s="20"/>
      <c r="E86" s="20"/>
      <c r="F86" s="21"/>
      <c r="G86" s="20"/>
    </row>
    <row r="87" spans="2:7">
      <c r="B87" s="20"/>
      <c r="C87" s="20"/>
      <c r="D87" s="20"/>
      <c r="E87" s="20"/>
      <c r="F87" s="21"/>
      <c r="G87" s="20"/>
    </row>
    <row r="88" spans="2:7">
      <c r="B88" s="20"/>
      <c r="C88" s="20"/>
      <c r="D88" s="20"/>
      <c r="E88" s="20"/>
      <c r="F88" s="21"/>
      <c r="G88" s="20"/>
    </row>
    <row r="89" spans="2:7">
      <c r="B89" s="20"/>
      <c r="C89" s="20"/>
      <c r="D89" s="20"/>
      <c r="E89" s="20"/>
      <c r="F89" s="21"/>
      <c r="G89" s="20"/>
    </row>
    <row r="90" spans="2:7">
      <c r="B90" s="20"/>
      <c r="C90" s="20"/>
      <c r="D90" s="20"/>
      <c r="E90" s="20"/>
      <c r="F90" s="21"/>
      <c r="G90" s="20"/>
    </row>
    <row r="91" spans="2:7">
      <c r="B91" s="20"/>
      <c r="C91" s="20"/>
      <c r="D91" s="20"/>
      <c r="E91" s="20"/>
      <c r="F91" s="21"/>
      <c r="G91" s="20"/>
    </row>
    <row r="92" spans="2:7">
      <c r="B92" s="20"/>
      <c r="C92" s="20"/>
      <c r="D92" s="20"/>
      <c r="E92" s="20"/>
      <c r="F92" s="21"/>
      <c r="G92" s="20"/>
    </row>
    <row r="93" spans="2:7">
      <c r="B93" s="20"/>
      <c r="C93" s="20"/>
      <c r="D93" s="20"/>
      <c r="E93" s="20"/>
      <c r="F93" s="21"/>
      <c r="G93" s="20"/>
    </row>
    <row r="94" spans="2:7">
      <c r="B94" s="20"/>
      <c r="C94" s="20"/>
      <c r="D94" s="20"/>
      <c r="E94" s="20"/>
      <c r="F94" s="21"/>
      <c r="G94" s="20"/>
    </row>
    <row r="95" spans="2:7">
      <c r="B95" s="20"/>
      <c r="C95" s="20"/>
      <c r="D95" s="20"/>
      <c r="E95" s="20"/>
      <c r="F95" s="21"/>
      <c r="G95" s="20"/>
    </row>
    <row r="96" spans="2:7">
      <c r="B96" s="20"/>
      <c r="C96" s="20"/>
      <c r="D96" s="20"/>
      <c r="E96" s="20"/>
      <c r="F96" s="21"/>
      <c r="G96" s="20"/>
    </row>
    <row r="97" spans="2:7">
      <c r="B97" s="20"/>
      <c r="C97" s="20"/>
      <c r="D97" s="20"/>
      <c r="E97" s="20"/>
      <c r="F97" s="21"/>
      <c r="G97" s="20"/>
    </row>
    <row r="98" spans="2:7">
      <c r="B98" s="20"/>
      <c r="C98" s="20"/>
      <c r="D98" s="20"/>
      <c r="E98" s="20"/>
      <c r="F98" s="21"/>
      <c r="G98" s="20"/>
    </row>
    <row r="99" spans="2:7">
      <c r="B99" s="20"/>
      <c r="C99" s="20"/>
      <c r="D99" s="20"/>
      <c r="E99" s="20"/>
      <c r="F99" s="21"/>
      <c r="G99" s="20"/>
    </row>
    <row r="100" spans="2:7">
      <c r="B100" s="20"/>
      <c r="C100" s="20"/>
      <c r="D100" s="20"/>
      <c r="E100" s="20"/>
      <c r="F100" s="21"/>
      <c r="G100" s="20"/>
    </row>
    <row r="101" spans="2:7">
      <c r="B101" s="20"/>
      <c r="C101" s="20"/>
      <c r="D101" s="20"/>
      <c r="E101" s="20"/>
      <c r="F101" s="21"/>
      <c r="G101" s="20"/>
    </row>
    <row r="102" spans="2:7">
      <c r="B102" s="20"/>
      <c r="C102" s="20"/>
      <c r="D102" s="20"/>
      <c r="E102" s="20"/>
      <c r="F102" s="21"/>
      <c r="G102" s="20"/>
    </row>
    <row r="103" spans="2:7">
      <c r="B103" s="20"/>
      <c r="C103" s="20"/>
      <c r="D103" s="20"/>
      <c r="E103" s="20"/>
      <c r="F103" s="21"/>
      <c r="G103" s="20"/>
    </row>
    <row r="104" spans="2:7">
      <c r="B104" s="20"/>
      <c r="C104" s="20"/>
      <c r="D104" s="20"/>
      <c r="E104" s="20"/>
      <c r="F104" s="21"/>
      <c r="G104" s="20"/>
    </row>
    <row r="105" spans="2:7">
      <c r="B105" s="20"/>
      <c r="C105" s="20"/>
      <c r="D105" s="20"/>
      <c r="E105" s="20"/>
      <c r="F105" s="21"/>
      <c r="G105" s="20"/>
    </row>
    <row r="106" spans="2:7">
      <c r="B106" s="20"/>
      <c r="C106" s="20"/>
      <c r="D106" s="20"/>
      <c r="E106" s="20"/>
      <c r="F106" s="21"/>
      <c r="G106" s="20"/>
    </row>
    <row r="107" spans="2:7">
      <c r="B107" s="20"/>
      <c r="C107" s="20"/>
      <c r="D107" s="20"/>
      <c r="E107" s="20"/>
      <c r="F107" s="21"/>
      <c r="G107" s="20"/>
    </row>
    <row r="108" spans="2:7">
      <c r="B108" s="20"/>
      <c r="C108" s="20"/>
      <c r="D108" s="20"/>
      <c r="E108" s="20"/>
      <c r="F108" s="21"/>
      <c r="G108" s="20"/>
    </row>
    <row r="109" spans="2:7">
      <c r="B109" s="20"/>
      <c r="C109" s="20"/>
      <c r="D109" s="20"/>
      <c r="E109" s="20"/>
      <c r="F109" s="21"/>
      <c r="G109" s="20"/>
    </row>
    <row r="110" spans="2:7">
      <c r="B110" s="20"/>
      <c r="C110" s="20"/>
      <c r="D110" s="20"/>
      <c r="E110" s="20"/>
      <c r="F110" s="21"/>
      <c r="G110" s="20"/>
    </row>
    <row r="111" spans="2:7">
      <c r="B111" s="20"/>
      <c r="C111" s="20"/>
      <c r="D111" s="20"/>
      <c r="E111" s="20"/>
      <c r="F111" s="21"/>
      <c r="G111" s="20"/>
    </row>
    <row r="112" spans="2:7">
      <c r="B112" s="20"/>
      <c r="C112" s="20"/>
      <c r="D112" s="20"/>
      <c r="E112" s="20"/>
      <c r="F112" s="21"/>
      <c r="G112" s="20"/>
    </row>
    <row r="113" spans="2:7">
      <c r="B113" s="20"/>
      <c r="C113" s="20"/>
      <c r="D113" s="20"/>
      <c r="E113" s="20"/>
      <c r="F113" s="21"/>
      <c r="G113" s="20"/>
    </row>
    <row r="114" spans="2:7">
      <c r="B114" s="20"/>
      <c r="C114" s="20"/>
      <c r="D114" s="20"/>
      <c r="E114" s="20"/>
      <c r="F114" s="21"/>
      <c r="G114" s="20"/>
    </row>
    <row r="115" spans="2:7">
      <c r="B115" s="20"/>
      <c r="C115" s="20"/>
      <c r="D115" s="20"/>
      <c r="E115" s="20"/>
      <c r="F115" s="21"/>
      <c r="G115" s="20"/>
    </row>
    <row r="116" spans="2:7">
      <c r="B116" s="20"/>
      <c r="C116" s="20"/>
      <c r="D116" s="20"/>
      <c r="E116" s="20"/>
      <c r="F116" s="21"/>
      <c r="G116" s="20"/>
    </row>
    <row r="117" spans="2:7">
      <c r="B117" s="20"/>
      <c r="C117" s="20"/>
      <c r="D117" s="20"/>
      <c r="E117" s="20"/>
      <c r="F117" s="21"/>
      <c r="G117" s="20"/>
    </row>
    <row r="118" spans="2:7">
      <c r="B118" s="20"/>
      <c r="C118" s="20"/>
      <c r="D118" s="20"/>
      <c r="E118" s="20"/>
      <c r="F118" s="21"/>
      <c r="G118" s="20"/>
    </row>
    <row r="119" spans="2:7">
      <c r="B119" s="20"/>
      <c r="C119" s="20"/>
      <c r="D119" s="20"/>
      <c r="E119" s="20"/>
      <c r="F119" s="21"/>
      <c r="G119" s="20"/>
    </row>
    <row r="120" spans="2:7">
      <c r="B120" s="20"/>
      <c r="C120" s="20"/>
      <c r="D120" s="20"/>
      <c r="E120" s="20"/>
      <c r="F120" s="21"/>
      <c r="G120" s="20"/>
    </row>
    <row r="121" spans="2:7">
      <c r="B121" s="20"/>
      <c r="C121" s="20"/>
      <c r="D121" s="20"/>
      <c r="E121" s="20"/>
      <c r="F121" s="21"/>
      <c r="G121" s="20"/>
    </row>
    <row r="122" spans="2:7">
      <c r="B122" s="20"/>
      <c r="C122" s="20"/>
      <c r="D122" s="20"/>
      <c r="E122" s="20"/>
      <c r="F122" s="21"/>
      <c r="G122" s="20"/>
    </row>
    <row r="123" spans="2:7">
      <c r="B123" s="20"/>
      <c r="C123" s="20"/>
      <c r="D123" s="20"/>
      <c r="E123" s="20"/>
      <c r="F123" s="21"/>
      <c r="G123" s="20"/>
    </row>
    <row r="124" spans="2:7">
      <c r="B124" s="20"/>
      <c r="C124" s="20"/>
      <c r="D124" s="20"/>
      <c r="E124" s="20"/>
      <c r="F124" s="21"/>
      <c r="G124" s="20"/>
    </row>
    <row r="125" spans="2:7">
      <c r="B125" s="20"/>
      <c r="C125" s="20"/>
      <c r="D125" s="20"/>
      <c r="E125" s="20"/>
      <c r="F125" s="21"/>
      <c r="G125" s="20"/>
    </row>
    <row r="126" spans="2:7">
      <c r="B126" s="20"/>
      <c r="C126" s="20"/>
      <c r="D126" s="20"/>
      <c r="E126" s="20"/>
      <c r="F126" s="21"/>
      <c r="G126" s="20"/>
    </row>
    <row r="127" spans="2:7">
      <c r="B127" s="20"/>
      <c r="C127" s="20"/>
      <c r="D127" s="20"/>
      <c r="E127" s="20"/>
      <c r="F127" s="21"/>
      <c r="G127" s="20"/>
    </row>
    <row r="128" spans="2:7">
      <c r="B128" s="20"/>
      <c r="C128" s="20"/>
      <c r="D128" s="20"/>
      <c r="E128" s="20"/>
      <c r="F128" s="21"/>
      <c r="G128" s="20"/>
    </row>
    <row r="129" spans="2:7">
      <c r="B129" s="20"/>
      <c r="C129" s="20"/>
      <c r="D129" s="20"/>
      <c r="E129" s="20"/>
      <c r="F129" s="21"/>
      <c r="G129" s="20"/>
    </row>
    <row r="130" spans="2:7">
      <c r="B130" s="20"/>
      <c r="C130" s="20"/>
      <c r="D130" s="20"/>
      <c r="E130" s="20"/>
      <c r="F130" s="21"/>
      <c r="G130" s="20"/>
    </row>
    <row r="131" spans="2:7">
      <c r="B131" s="20"/>
      <c r="C131" s="20"/>
      <c r="D131" s="20"/>
      <c r="E131" s="20"/>
      <c r="F131" s="21"/>
      <c r="G131" s="20"/>
    </row>
    <row r="132" spans="2:7">
      <c r="B132" s="20"/>
      <c r="C132" s="20"/>
      <c r="D132" s="20"/>
      <c r="E132" s="20"/>
      <c r="F132" s="21"/>
      <c r="G132" s="20"/>
    </row>
    <row r="133" spans="2:7">
      <c r="B133" s="20"/>
      <c r="C133" s="20"/>
      <c r="D133" s="20"/>
      <c r="E133" s="20"/>
      <c r="F133" s="21"/>
      <c r="G133" s="20"/>
    </row>
    <row r="134" spans="2:7">
      <c r="B134" s="20"/>
      <c r="C134" s="20"/>
      <c r="D134" s="20"/>
      <c r="E134" s="20"/>
      <c r="F134" s="21"/>
      <c r="G134" s="20"/>
    </row>
    <row r="135" spans="2:7">
      <c r="B135" s="20"/>
      <c r="C135" s="20"/>
      <c r="D135" s="20"/>
      <c r="E135" s="20"/>
      <c r="F135" s="21"/>
      <c r="G135" s="20"/>
    </row>
    <row r="136" spans="2:7">
      <c r="B136" s="20"/>
      <c r="C136" s="20"/>
      <c r="D136" s="20"/>
      <c r="E136" s="20"/>
      <c r="F136" s="21"/>
      <c r="G136" s="20"/>
    </row>
    <row r="137" spans="2:7">
      <c r="B137" s="20"/>
      <c r="C137" s="20"/>
      <c r="D137" s="20"/>
      <c r="E137" s="20"/>
      <c r="F137" s="21"/>
      <c r="G137" s="20"/>
    </row>
    <row r="138" spans="2:7">
      <c r="B138" s="20"/>
      <c r="C138" s="20"/>
      <c r="D138" s="20"/>
      <c r="E138" s="20"/>
      <c r="F138" s="21"/>
      <c r="G138" s="20"/>
    </row>
    <row r="139" spans="2:7">
      <c r="B139" s="20"/>
      <c r="C139" s="20"/>
      <c r="D139" s="20"/>
      <c r="E139" s="20"/>
      <c r="F139" s="21"/>
      <c r="G139" s="20"/>
    </row>
    <row r="140" spans="2:7">
      <c r="B140" s="20"/>
      <c r="C140" s="20"/>
      <c r="D140" s="20"/>
      <c r="E140" s="20"/>
      <c r="F140" s="21"/>
      <c r="G140" s="20"/>
    </row>
    <row r="141" spans="2:7">
      <c r="B141" s="20"/>
      <c r="C141" s="20"/>
      <c r="D141" s="20"/>
      <c r="E141" s="20"/>
      <c r="F141" s="21"/>
      <c r="G141" s="20"/>
    </row>
    <row r="142" spans="2:7">
      <c r="B142" s="20"/>
      <c r="C142" s="20"/>
      <c r="D142" s="20"/>
      <c r="E142" s="20"/>
      <c r="F142" s="21"/>
      <c r="G142" s="20"/>
    </row>
    <row r="143" spans="2:7">
      <c r="B143" s="20"/>
      <c r="C143" s="20"/>
      <c r="D143" s="20"/>
      <c r="E143" s="20"/>
      <c r="F143" s="21"/>
      <c r="G143" s="20"/>
    </row>
    <row r="144" spans="2:7">
      <c r="B144" s="20"/>
      <c r="C144" s="20"/>
      <c r="D144" s="20"/>
      <c r="E144" s="20"/>
      <c r="F144" s="21"/>
      <c r="G144" s="20"/>
    </row>
    <row r="145" spans="2:7">
      <c r="B145" s="20"/>
      <c r="C145" s="20"/>
      <c r="D145" s="20"/>
      <c r="E145" s="20"/>
      <c r="F145" s="21"/>
      <c r="G145" s="20"/>
    </row>
    <row r="146" spans="2:7">
      <c r="B146" s="20"/>
      <c r="C146" s="20"/>
      <c r="D146" s="20"/>
      <c r="E146" s="20"/>
      <c r="F146" s="21"/>
      <c r="G146" s="20"/>
    </row>
    <row r="147" spans="2:7">
      <c r="B147" s="20"/>
      <c r="C147" s="20"/>
      <c r="D147" s="20"/>
      <c r="E147" s="20"/>
      <c r="F147" s="21"/>
      <c r="G147" s="20"/>
    </row>
    <row r="148" spans="2:7">
      <c r="B148" s="20"/>
      <c r="C148" s="20"/>
      <c r="D148" s="20"/>
      <c r="E148" s="20"/>
      <c r="F148" s="21"/>
      <c r="G148" s="20"/>
    </row>
    <row r="149" spans="2:7">
      <c r="B149" s="20"/>
      <c r="C149" s="20"/>
      <c r="D149" s="20"/>
      <c r="E149" s="20"/>
      <c r="F149" s="21"/>
      <c r="G149" s="20"/>
    </row>
    <row r="150" spans="2:7">
      <c r="B150" s="20"/>
      <c r="C150" s="20"/>
      <c r="D150" s="20"/>
      <c r="E150" s="20"/>
      <c r="F150" s="21"/>
      <c r="G150" s="20"/>
    </row>
  </sheetData>
  <dataValidations count="1">
    <dataValidation type="list" allowBlank="1" sqref="D6:D150" xr:uid="{00000000-0002-0000-0200-000000000000}">
      <formula1>"فيسبوك,انستغرام,تيك توك,جوجل,أخرى"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100"/>
  <sheetViews>
    <sheetView showGridLines="0" rightToLeft="1" tabSelected="1" zoomScaleNormal="100" workbookViewId="0">
      <pane xSplit="2" ySplit="5" topLeftCell="D6" activePane="bottomRight" state="frozen"/>
      <selection pane="topRight" activeCell="C1" sqref="C1"/>
      <selection pane="bottomLeft" activeCell="A6" sqref="A6"/>
      <selection pane="bottomRight" activeCell="J5" sqref="J5"/>
    </sheetView>
  </sheetViews>
  <sheetFormatPr defaultColWidth="8.6328125" defaultRowHeight="14.5"/>
  <cols>
    <col min="1" max="1" width="3" customWidth="1"/>
    <col min="2" max="2" width="16" customWidth="1"/>
    <col min="3" max="3" width="30" customWidth="1"/>
    <col min="4" max="4" width="14" customWidth="1"/>
    <col min="5" max="6" width="16" customWidth="1"/>
    <col min="7" max="7" width="14" customWidth="1"/>
    <col min="8" max="8" width="18" customWidth="1"/>
    <col min="9" max="9" width="15" customWidth="1"/>
    <col min="10" max="10" width="20" customWidth="1"/>
    <col min="11" max="11" width="30" customWidth="1"/>
    <col min="12" max="12" width="14" customWidth="1"/>
  </cols>
  <sheetData>
    <row r="2" spans="2:11" ht="20">
      <c r="B2" s="1" t="s">
        <v>47</v>
      </c>
    </row>
    <row r="3" spans="2:11">
      <c r="B3" s="2" t="s">
        <v>48</v>
      </c>
    </row>
    <row r="5" spans="2:11" ht="33.75" customHeight="1">
      <c r="B5" s="11" t="s">
        <v>49</v>
      </c>
      <c r="C5" s="11" t="s">
        <v>50</v>
      </c>
      <c r="D5" s="11" t="s">
        <v>51</v>
      </c>
      <c r="E5" s="11" t="s">
        <v>52</v>
      </c>
      <c r="F5" s="11" t="s">
        <v>53</v>
      </c>
      <c r="G5" s="11" t="s">
        <v>54</v>
      </c>
      <c r="H5" s="11" t="s">
        <v>55</v>
      </c>
      <c r="I5" s="11" t="s">
        <v>56</v>
      </c>
      <c r="J5" s="25">
        <f>SUM(H6:H100)</f>
        <v>11725</v>
      </c>
      <c r="K5" s="11" t="s">
        <v>34</v>
      </c>
    </row>
    <row r="6" spans="2:11" ht="28">
      <c r="B6" s="12" t="s">
        <v>35</v>
      </c>
      <c r="C6" s="12" t="s">
        <v>57</v>
      </c>
      <c r="D6" s="15">
        <v>0</v>
      </c>
      <c r="E6" s="15">
        <v>5</v>
      </c>
      <c r="F6" s="14">
        <f>IF(B6="","",COUNTIF(الطلبات!$F$6:$F$200,B6))</f>
        <v>0</v>
      </c>
      <c r="G6" s="17">
        <f t="shared" ref="G6:G37" si="0">IF(B6="","",E6*F6)</f>
        <v>0</v>
      </c>
      <c r="H6" s="17">
        <f t="shared" ref="H6:H37" si="1">IF(B6="","",D6+G6)</f>
        <v>0</v>
      </c>
      <c r="I6" s="12" t="s">
        <v>43</v>
      </c>
      <c r="J6" s="12" t="s">
        <v>58</v>
      </c>
      <c r="K6" s="12" t="s">
        <v>59</v>
      </c>
    </row>
    <row r="7" spans="2:11">
      <c r="B7" s="20" t="s">
        <v>63</v>
      </c>
      <c r="C7" s="20"/>
      <c r="D7" s="21">
        <v>10000</v>
      </c>
      <c r="E7" s="21">
        <v>25</v>
      </c>
      <c r="F7" s="18">
        <f>IF(B7="","",COUNTIF(الطلبات!$F$6:$F$200,B7))</f>
        <v>63</v>
      </c>
      <c r="G7" s="23">
        <f t="shared" si="0"/>
        <v>1575</v>
      </c>
      <c r="H7" s="23">
        <f t="shared" si="1"/>
        <v>11575</v>
      </c>
      <c r="I7" s="20"/>
      <c r="J7" s="20"/>
      <c r="K7" s="20"/>
    </row>
    <row r="8" spans="2:11">
      <c r="B8" s="20" t="s">
        <v>145</v>
      </c>
      <c r="C8" s="20"/>
      <c r="D8" s="21"/>
      <c r="E8" s="21"/>
      <c r="F8" s="18">
        <f>IF(B8="","",COUNTIF(الطلبات!$F$6:$F$200,B8))</f>
        <v>0</v>
      </c>
      <c r="G8" s="23">
        <f t="shared" si="0"/>
        <v>0</v>
      </c>
      <c r="H8" s="23">
        <f t="shared" si="1"/>
        <v>0</v>
      </c>
      <c r="I8" s="20"/>
      <c r="J8" s="20"/>
      <c r="K8" s="20"/>
    </row>
    <row r="9" spans="2:11">
      <c r="B9" s="20" t="s">
        <v>146</v>
      </c>
      <c r="C9" s="20" t="s">
        <v>147</v>
      </c>
      <c r="D9" s="21"/>
      <c r="E9" s="21">
        <v>25</v>
      </c>
      <c r="F9" s="18">
        <v>6</v>
      </c>
      <c r="G9" s="23">
        <f t="shared" si="0"/>
        <v>150</v>
      </c>
      <c r="H9" s="23">
        <f t="shared" si="1"/>
        <v>150</v>
      </c>
      <c r="I9" s="20"/>
      <c r="J9" s="20"/>
      <c r="K9" s="20"/>
    </row>
    <row r="10" spans="2:11">
      <c r="B10" s="20"/>
      <c r="C10" s="20"/>
      <c r="D10" s="21"/>
      <c r="E10" s="21"/>
      <c r="F10" s="18" t="str">
        <f>IF(B10="","",COUNTIF(الطلبات!$F$6:$F$200,B10))</f>
        <v/>
      </c>
      <c r="G10" s="23" t="str">
        <f t="shared" si="0"/>
        <v/>
      </c>
      <c r="H10" s="23" t="str">
        <f t="shared" si="1"/>
        <v/>
      </c>
      <c r="I10" s="20"/>
      <c r="J10" s="20"/>
      <c r="K10" s="20"/>
    </row>
    <row r="11" spans="2:11">
      <c r="B11" s="20"/>
      <c r="C11" s="20"/>
      <c r="D11" s="21"/>
      <c r="E11" s="21"/>
      <c r="F11" s="18" t="str">
        <f>IF(B11="","",COUNTIF(الطلبات!$F$6:$F$200,B11))</f>
        <v/>
      </c>
      <c r="G11" s="23" t="str">
        <f t="shared" si="0"/>
        <v/>
      </c>
      <c r="H11" s="23" t="str">
        <f t="shared" si="1"/>
        <v/>
      </c>
      <c r="I11" s="20"/>
      <c r="J11" s="20"/>
      <c r="K11" s="20"/>
    </row>
    <row r="12" spans="2:11">
      <c r="B12" s="20"/>
      <c r="C12" s="20"/>
      <c r="D12" s="21"/>
      <c r="E12" s="21"/>
      <c r="F12" s="18" t="str">
        <f>IF(B12="","",COUNTIF(الطلبات!$F$6:$F$200,B12))</f>
        <v/>
      </c>
      <c r="G12" s="23" t="str">
        <f t="shared" si="0"/>
        <v/>
      </c>
      <c r="H12" s="23" t="str">
        <f t="shared" si="1"/>
        <v/>
      </c>
      <c r="I12" s="20"/>
      <c r="J12" s="20"/>
      <c r="K12" s="20"/>
    </row>
    <row r="13" spans="2:11">
      <c r="B13" s="20"/>
      <c r="C13" s="20"/>
      <c r="D13" s="21"/>
      <c r="E13" s="21"/>
      <c r="F13" s="18" t="str">
        <f>IF(B13="","",COUNTIF(الطلبات!$F$6:$F$200,B13))</f>
        <v/>
      </c>
      <c r="G13" s="23" t="str">
        <f t="shared" si="0"/>
        <v/>
      </c>
      <c r="H13" s="23" t="str">
        <f t="shared" si="1"/>
        <v/>
      </c>
      <c r="I13" s="20"/>
      <c r="J13" s="20"/>
      <c r="K13" s="20"/>
    </row>
    <row r="14" spans="2:11">
      <c r="B14" s="20"/>
      <c r="C14" s="20"/>
      <c r="D14" s="21"/>
      <c r="E14" s="21"/>
      <c r="F14" s="18" t="str">
        <f>IF(B14="","",COUNTIF(الطلبات!$F$6:$F$200,B14))</f>
        <v/>
      </c>
      <c r="G14" s="23" t="str">
        <f t="shared" si="0"/>
        <v/>
      </c>
      <c r="H14" s="23" t="str">
        <f t="shared" si="1"/>
        <v/>
      </c>
      <c r="I14" s="20"/>
      <c r="J14" s="20"/>
      <c r="K14" s="20"/>
    </row>
    <row r="15" spans="2:11">
      <c r="B15" s="20"/>
      <c r="C15" s="20"/>
      <c r="D15" s="21"/>
      <c r="E15" s="21"/>
      <c r="F15" s="18" t="str">
        <f>IF(B15="","",COUNTIF(الطلبات!$F$6:$F$200,B15))</f>
        <v/>
      </c>
      <c r="G15" s="23" t="str">
        <f t="shared" si="0"/>
        <v/>
      </c>
      <c r="H15" s="23" t="str">
        <f t="shared" si="1"/>
        <v/>
      </c>
      <c r="I15" s="20"/>
      <c r="J15" s="20"/>
      <c r="K15" s="20"/>
    </row>
    <row r="16" spans="2:11">
      <c r="B16" s="20"/>
      <c r="C16" s="20"/>
      <c r="D16" s="21"/>
      <c r="E16" s="21"/>
      <c r="F16" s="18" t="str">
        <f>IF(B16="","",COUNTIF(الطلبات!$F$6:$F$200,B16))</f>
        <v/>
      </c>
      <c r="G16" s="23" t="str">
        <f t="shared" si="0"/>
        <v/>
      </c>
      <c r="H16" s="23" t="str">
        <f t="shared" si="1"/>
        <v/>
      </c>
      <c r="I16" s="20"/>
      <c r="J16" s="20"/>
      <c r="K16" s="20"/>
    </row>
    <row r="17" spans="2:11">
      <c r="B17" s="20"/>
      <c r="C17" s="20"/>
      <c r="D17" s="21"/>
      <c r="E17" s="21"/>
      <c r="F17" s="18" t="str">
        <f>IF(B17="","",COUNTIF(الطلبات!$F$6:$F$200,B17))</f>
        <v/>
      </c>
      <c r="G17" s="23" t="str">
        <f t="shared" si="0"/>
        <v/>
      </c>
      <c r="H17" s="23" t="str">
        <f t="shared" si="1"/>
        <v/>
      </c>
      <c r="I17" s="20"/>
      <c r="J17" s="20"/>
      <c r="K17" s="20"/>
    </row>
    <row r="18" spans="2:11">
      <c r="B18" s="20"/>
      <c r="C18" s="20"/>
      <c r="D18" s="21"/>
      <c r="E18" s="21"/>
      <c r="F18" s="18" t="str">
        <f>IF(B18="","",COUNTIF(الطلبات!$F$6:$F$200,B18))</f>
        <v/>
      </c>
      <c r="G18" s="23" t="str">
        <f t="shared" si="0"/>
        <v/>
      </c>
      <c r="H18" s="23" t="str">
        <f t="shared" si="1"/>
        <v/>
      </c>
      <c r="I18" s="20"/>
      <c r="J18" s="20"/>
      <c r="K18" s="20"/>
    </row>
    <row r="19" spans="2:11">
      <c r="B19" s="20"/>
      <c r="C19" s="20"/>
      <c r="D19" s="21"/>
      <c r="E19" s="21"/>
      <c r="F19" s="18" t="str">
        <f>IF(B19="","",COUNTIF(الطلبات!$F$6:$F$200,B19))</f>
        <v/>
      </c>
      <c r="G19" s="23" t="str">
        <f t="shared" si="0"/>
        <v/>
      </c>
      <c r="H19" s="23" t="str">
        <f t="shared" si="1"/>
        <v/>
      </c>
      <c r="I19" s="20"/>
      <c r="J19" s="20"/>
      <c r="K19" s="20"/>
    </row>
    <row r="20" spans="2:11">
      <c r="B20" s="20"/>
      <c r="C20" s="20"/>
      <c r="D20" s="21"/>
      <c r="E20" s="21"/>
      <c r="F20" s="18" t="str">
        <f>IF(B20="","",COUNTIF(الطلبات!$F$6:$F$200,B20))</f>
        <v/>
      </c>
      <c r="G20" s="23" t="str">
        <f t="shared" si="0"/>
        <v/>
      </c>
      <c r="H20" s="23" t="str">
        <f t="shared" si="1"/>
        <v/>
      </c>
      <c r="I20" s="20"/>
      <c r="J20" s="20"/>
      <c r="K20" s="20"/>
    </row>
    <row r="21" spans="2:11">
      <c r="B21" s="20"/>
      <c r="C21" s="20"/>
      <c r="D21" s="21"/>
      <c r="E21" s="21"/>
      <c r="F21" s="18" t="str">
        <f>IF(B21="","",COUNTIF(الطلبات!$F$6:$F$200,B21))</f>
        <v/>
      </c>
      <c r="G21" s="23" t="str">
        <f t="shared" si="0"/>
        <v/>
      </c>
      <c r="H21" s="23" t="str">
        <f t="shared" si="1"/>
        <v/>
      </c>
      <c r="I21" s="20"/>
      <c r="J21" s="20"/>
      <c r="K21" s="20"/>
    </row>
    <row r="22" spans="2:11">
      <c r="B22" s="20"/>
      <c r="C22" s="20"/>
      <c r="D22" s="21"/>
      <c r="E22" s="21"/>
      <c r="F22" s="18" t="str">
        <f>IF(B22="","",COUNTIF(الطلبات!$F$6:$F$200,B22))</f>
        <v/>
      </c>
      <c r="G22" s="23" t="str">
        <f t="shared" si="0"/>
        <v/>
      </c>
      <c r="H22" s="23" t="str">
        <f t="shared" si="1"/>
        <v/>
      </c>
      <c r="I22" s="20"/>
      <c r="J22" s="20"/>
      <c r="K22" s="20"/>
    </row>
    <row r="23" spans="2:11">
      <c r="B23" s="20"/>
      <c r="C23" s="20"/>
      <c r="D23" s="21"/>
      <c r="E23" s="21"/>
      <c r="F23" s="18" t="str">
        <f>IF(B23="","",COUNTIF(الطلبات!$F$6:$F$200,B23))</f>
        <v/>
      </c>
      <c r="G23" s="23" t="str">
        <f t="shared" si="0"/>
        <v/>
      </c>
      <c r="H23" s="23" t="str">
        <f t="shared" si="1"/>
        <v/>
      </c>
      <c r="I23" s="20"/>
      <c r="J23" s="20"/>
      <c r="K23" s="20"/>
    </row>
    <row r="24" spans="2:11">
      <c r="B24" s="20"/>
      <c r="C24" s="20"/>
      <c r="D24" s="21"/>
      <c r="E24" s="21"/>
      <c r="F24" s="18" t="str">
        <f>IF(B24="","",COUNTIF(الطلبات!$F$6:$F$200,B24))</f>
        <v/>
      </c>
      <c r="G24" s="23" t="str">
        <f t="shared" si="0"/>
        <v/>
      </c>
      <c r="H24" s="23" t="str">
        <f t="shared" si="1"/>
        <v/>
      </c>
      <c r="I24" s="20"/>
      <c r="J24" s="20"/>
      <c r="K24" s="20"/>
    </row>
    <row r="25" spans="2:11">
      <c r="B25" s="20"/>
      <c r="C25" s="20"/>
      <c r="D25" s="21"/>
      <c r="E25" s="21"/>
      <c r="F25" s="18" t="str">
        <f>IF(B25="","",COUNTIF(الطلبات!$F$6:$F$200,B25))</f>
        <v/>
      </c>
      <c r="G25" s="23" t="str">
        <f t="shared" si="0"/>
        <v/>
      </c>
      <c r="H25" s="23" t="str">
        <f t="shared" si="1"/>
        <v/>
      </c>
      <c r="I25" s="20"/>
      <c r="J25" s="20"/>
      <c r="K25" s="20"/>
    </row>
    <row r="26" spans="2:11">
      <c r="B26" s="20"/>
      <c r="C26" s="20"/>
      <c r="D26" s="21"/>
      <c r="E26" s="21"/>
      <c r="F26" s="18" t="str">
        <f>IF(B26="","",COUNTIF(الطلبات!$F$6:$F$200,B26))</f>
        <v/>
      </c>
      <c r="G26" s="23" t="str">
        <f t="shared" si="0"/>
        <v/>
      </c>
      <c r="H26" s="23" t="str">
        <f t="shared" si="1"/>
        <v/>
      </c>
      <c r="I26" s="20"/>
      <c r="J26" s="20"/>
      <c r="K26" s="20"/>
    </row>
    <row r="27" spans="2:11">
      <c r="B27" s="20"/>
      <c r="C27" s="20"/>
      <c r="D27" s="21"/>
      <c r="E27" s="21"/>
      <c r="F27" s="18" t="str">
        <f>IF(B27="","",COUNTIF(الطلبات!$F$6:$F$200,B27))</f>
        <v/>
      </c>
      <c r="G27" s="23" t="str">
        <f t="shared" si="0"/>
        <v/>
      </c>
      <c r="H27" s="23" t="str">
        <f t="shared" si="1"/>
        <v/>
      </c>
      <c r="I27" s="20"/>
      <c r="J27" s="20"/>
      <c r="K27" s="20"/>
    </row>
    <row r="28" spans="2:11">
      <c r="B28" s="20"/>
      <c r="C28" s="20"/>
      <c r="D28" s="21"/>
      <c r="E28" s="21"/>
      <c r="F28" s="18" t="str">
        <f>IF(B28="","",COUNTIF(الطلبات!$F$6:$F$200,B28))</f>
        <v/>
      </c>
      <c r="G28" s="23" t="str">
        <f t="shared" si="0"/>
        <v/>
      </c>
      <c r="H28" s="23" t="str">
        <f t="shared" si="1"/>
        <v/>
      </c>
      <c r="I28" s="20"/>
      <c r="J28" s="20"/>
      <c r="K28" s="20"/>
    </row>
    <row r="29" spans="2:11">
      <c r="B29" s="20"/>
      <c r="C29" s="20"/>
      <c r="D29" s="21"/>
      <c r="E29" s="21"/>
      <c r="F29" s="18" t="str">
        <f>IF(B29="","",COUNTIF(الطلبات!$F$6:$F$200,B29))</f>
        <v/>
      </c>
      <c r="G29" s="23" t="str">
        <f t="shared" si="0"/>
        <v/>
      </c>
      <c r="H29" s="23" t="str">
        <f t="shared" si="1"/>
        <v/>
      </c>
      <c r="I29" s="20"/>
      <c r="J29" s="20"/>
      <c r="K29" s="20"/>
    </row>
    <row r="30" spans="2:11">
      <c r="B30" s="20"/>
      <c r="C30" s="20"/>
      <c r="D30" s="21"/>
      <c r="E30" s="21"/>
      <c r="F30" s="18" t="str">
        <f>IF(B30="","",COUNTIF(الطلبات!$F$6:$F$200,B30))</f>
        <v/>
      </c>
      <c r="G30" s="23" t="str">
        <f t="shared" si="0"/>
        <v/>
      </c>
      <c r="H30" s="23" t="str">
        <f t="shared" si="1"/>
        <v/>
      </c>
      <c r="I30" s="20"/>
      <c r="J30" s="20"/>
      <c r="K30" s="20"/>
    </row>
    <row r="31" spans="2:11">
      <c r="B31" s="20"/>
      <c r="C31" s="20"/>
      <c r="D31" s="21"/>
      <c r="E31" s="21"/>
      <c r="F31" s="18" t="str">
        <f>IF(B31="","",COUNTIF(الطلبات!$F$6:$F$200,B31))</f>
        <v/>
      </c>
      <c r="G31" s="23" t="str">
        <f t="shared" si="0"/>
        <v/>
      </c>
      <c r="H31" s="23" t="str">
        <f t="shared" si="1"/>
        <v/>
      </c>
      <c r="I31" s="20"/>
      <c r="J31" s="20"/>
      <c r="K31" s="20"/>
    </row>
    <row r="32" spans="2:11">
      <c r="B32" s="20"/>
      <c r="C32" s="20"/>
      <c r="D32" s="21"/>
      <c r="E32" s="21"/>
      <c r="F32" s="18" t="str">
        <f>IF(B32="","",COUNTIF(الطلبات!$F$6:$F$200,B32))</f>
        <v/>
      </c>
      <c r="G32" s="23" t="str">
        <f t="shared" si="0"/>
        <v/>
      </c>
      <c r="H32" s="23" t="str">
        <f t="shared" si="1"/>
        <v/>
      </c>
      <c r="I32" s="20"/>
      <c r="J32" s="20"/>
      <c r="K32" s="20"/>
    </row>
    <row r="33" spans="2:11">
      <c r="B33" s="20"/>
      <c r="C33" s="20"/>
      <c r="D33" s="21"/>
      <c r="E33" s="21"/>
      <c r="F33" s="18" t="str">
        <f>IF(B33="","",COUNTIF(الطلبات!$F$6:$F$200,B33))</f>
        <v/>
      </c>
      <c r="G33" s="23" t="str">
        <f t="shared" si="0"/>
        <v/>
      </c>
      <c r="H33" s="23" t="str">
        <f t="shared" si="1"/>
        <v/>
      </c>
      <c r="I33" s="20"/>
      <c r="J33" s="20"/>
      <c r="K33" s="20"/>
    </row>
    <row r="34" spans="2:11">
      <c r="B34" s="20"/>
      <c r="C34" s="20"/>
      <c r="D34" s="21"/>
      <c r="E34" s="21"/>
      <c r="F34" s="18" t="str">
        <f>IF(B34="","",COUNTIF(الطلبات!$F$6:$F$200,B34))</f>
        <v/>
      </c>
      <c r="G34" s="23" t="str">
        <f t="shared" si="0"/>
        <v/>
      </c>
      <c r="H34" s="23" t="str">
        <f t="shared" si="1"/>
        <v/>
      </c>
      <c r="I34" s="20"/>
      <c r="J34" s="20"/>
      <c r="K34" s="20"/>
    </row>
    <row r="35" spans="2:11">
      <c r="B35" s="20"/>
      <c r="C35" s="20"/>
      <c r="D35" s="21"/>
      <c r="E35" s="21"/>
      <c r="F35" s="18" t="str">
        <f>IF(B35="","",COUNTIF(الطلبات!$F$6:$F$200,B35))</f>
        <v/>
      </c>
      <c r="G35" s="23" t="str">
        <f t="shared" si="0"/>
        <v/>
      </c>
      <c r="H35" s="23" t="str">
        <f t="shared" si="1"/>
        <v/>
      </c>
      <c r="I35" s="20"/>
      <c r="J35" s="20"/>
      <c r="K35" s="20"/>
    </row>
    <row r="36" spans="2:11">
      <c r="B36" s="20"/>
      <c r="C36" s="20"/>
      <c r="D36" s="21"/>
      <c r="E36" s="21"/>
      <c r="F36" s="18" t="str">
        <f>IF(B36="","",COUNTIF(الطلبات!$F$6:$F$200,B36))</f>
        <v/>
      </c>
      <c r="G36" s="23" t="str">
        <f t="shared" si="0"/>
        <v/>
      </c>
      <c r="H36" s="23" t="str">
        <f t="shared" si="1"/>
        <v/>
      </c>
      <c r="I36" s="20"/>
      <c r="J36" s="20"/>
      <c r="K36" s="20"/>
    </row>
    <row r="37" spans="2:11">
      <c r="B37" s="20"/>
      <c r="C37" s="20"/>
      <c r="D37" s="21"/>
      <c r="E37" s="21"/>
      <c r="F37" s="18" t="str">
        <f>IF(B37="","",COUNTIF(الطلبات!$F$6:$F$200,B37))</f>
        <v/>
      </c>
      <c r="G37" s="23" t="str">
        <f t="shared" si="0"/>
        <v/>
      </c>
      <c r="H37" s="23" t="str">
        <f t="shared" si="1"/>
        <v/>
      </c>
      <c r="I37" s="20"/>
      <c r="J37" s="20"/>
      <c r="K37" s="20"/>
    </row>
    <row r="38" spans="2:11">
      <c r="B38" s="20"/>
      <c r="C38" s="20"/>
      <c r="D38" s="21"/>
      <c r="E38" s="21"/>
      <c r="F38" s="18" t="str">
        <f>IF(B38="","",COUNTIF(الطلبات!$F$6:$F$200,B38))</f>
        <v/>
      </c>
      <c r="G38" s="23" t="str">
        <f t="shared" ref="G38:G69" si="2">IF(B38="","",E38*F38)</f>
        <v/>
      </c>
      <c r="H38" s="23" t="str">
        <f t="shared" ref="H38:H69" si="3">IF(B38="","",D38+G38)</f>
        <v/>
      </c>
      <c r="I38" s="20"/>
      <c r="J38" s="20"/>
      <c r="K38" s="20"/>
    </row>
    <row r="39" spans="2:11">
      <c r="B39" s="20"/>
      <c r="C39" s="20"/>
      <c r="D39" s="21"/>
      <c r="E39" s="21"/>
      <c r="F39" s="18" t="str">
        <f>IF(B39="","",COUNTIF(الطلبات!$F$6:$F$200,B39))</f>
        <v/>
      </c>
      <c r="G39" s="23" t="str">
        <f t="shared" si="2"/>
        <v/>
      </c>
      <c r="H39" s="23" t="str">
        <f t="shared" si="3"/>
        <v/>
      </c>
      <c r="I39" s="20"/>
      <c r="J39" s="20"/>
      <c r="K39" s="20"/>
    </row>
    <row r="40" spans="2:11">
      <c r="B40" s="20"/>
      <c r="C40" s="20"/>
      <c r="D40" s="21"/>
      <c r="E40" s="21"/>
      <c r="F40" s="18" t="str">
        <f>IF(B40="","",COUNTIF(الطلبات!$F$6:$F$200,B40))</f>
        <v/>
      </c>
      <c r="G40" s="23" t="str">
        <f t="shared" si="2"/>
        <v/>
      </c>
      <c r="H40" s="23" t="str">
        <f t="shared" si="3"/>
        <v/>
      </c>
      <c r="I40" s="20"/>
      <c r="J40" s="20"/>
      <c r="K40" s="20"/>
    </row>
    <row r="41" spans="2:11">
      <c r="B41" s="20"/>
      <c r="C41" s="20"/>
      <c r="D41" s="21"/>
      <c r="E41" s="21"/>
      <c r="F41" s="18" t="str">
        <f>IF(B41="","",COUNTIF(الطلبات!$F$6:$F$200,B41))</f>
        <v/>
      </c>
      <c r="G41" s="23" t="str">
        <f t="shared" si="2"/>
        <v/>
      </c>
      <c r="H41" s="23" t="str">
        <f t="shared" si="3"/>
        <v/>
      </c>
      <c r="I41" s="20"/>
      <c r="J41" s="20"/>
      <c r="K41" s="20"/>
    </row>
    <row r="42" spans="2:11">
      <c r="B42" s="20"/>
      <c r="C42" s="20"/>
      <c r="D42" s="21"/>
      <c r="E42" s="21"/>
      <c r="F42" s="18" t="str">
        <f>IF(B42="","",COUNTIF(الطلبات!$F$6:$F$200,B42))</f>
        <v/>
      </c>
      <c r="G42" s="23" t="str">
        <f t="shared" si="2"/>
        <v/>
      </c>
      <c r="H42" s="23" t="str">
        <f t="shared" si="3"/>
        <v/>
      </c>
      <c r="I42" s="20"/>
      <c r="J42" s="20"/>
      <c r="K42" s="20"/>
    </row>
    <row r="43" spans="2:11">
      <c r="B43" s="20"/>
      <c r="C43" s="20"/>
      <c r="D43" s="21"/>
      <c r="E43" s="21"/>
      <c r="F43" s="18" t="str">
        <f>IF(B43="","",COUNTIF(الطلبات!$F$6:$F$200,B43))</f>
        <v/>
      </c>
      <c r="G43" s="23" t="str">
        <f t="shared" si="2"/>
        <v/>
      </c>
      <c r="H43" s="23" t="str">
        <f t="shared" si="3"/>
        <v/>
      </c>
      <c r="I43" s="20"/>
      <c r="J43" s="20"/>
      <c r="K43" s="20"/>
    </row>
    <row r="44" spans="2:11">
      <c r="B44" s="20"/>
      <c r="C44" s="20"/>
      <c r="D44" s="21"/>
      <c r="E44" s="21"/>
      <c r="F44" s="18" t="str">
        <f>IF(B44="","",COUNTIF(الطلبات!$F$6:$F$200,B44))</f>
        <v/>
      </c>
      <c r="G44" s="23" t="str">
        <f t="shared" si="2"/>
        <v/>
      </c>
      <c r="H44" s="23" t="str">
        <f t="shared" si="3"/>
        <v/>
      </c>
      <c r="I44" s="20"/>
      <c r="J44" s="20"/>
      <c r="K44" s="20"/>
    </row>
    <row r="45" spans="2:11">
      <c r="B45" s="20"/>
      <c r="C45" s="20"/>
      <c r="D45" s="21"/>
      <c r="E45" s="21"/>
      <c r="F45" s="18" t="str">
        <f>IF(B45="","",COUNTIF(الطلبات!$F$6:$F$200,B45))</f>
        <v/>
      </c>
      <c r="G45" s="23" t="str">
        <f t="shared" si="2"/>
        <v/>
      </c>
      <c r="H45" s="23" t="str">
        <f t="shared" si="3"/>
        <v/>
      </c>
      <c r="I45" s="20"/>
      <c r="J45" s="20"/>
      <c r="K45" s="20"/>
    </row>
    <row r="46" spans="2:11">
      <c r="B46" s="20"/>
      <c r="C46" s="20"/>
      <c r="D46" s="21"/>
      <c r="E46" s="21"/>
      <c r="F46" s="18" t="str">
        <f>IF(B46="","",COUNTIF(الطلبات!$F$6:$F$200,B46))</f>
        <v/>
      </c>
      <c r="G46" s="23" t="str">
        <f t="shared" si="2"/>
        <v/>
      </c>
      <c r="H46" s="23" t="str">
        <f t="shared" si="3"/>
        <v/>
      </c>
      <c r="I46" s="20"/>
      <c r="J46" s="20"/>
      <c r="K46" s="20"/>
    </row>
    <row r="47" spans="2:11">
      <c r="B47" s="20"/>
      <c r="C47" s="20"/>
      <c r="D47" s="21"/>
      <c r="E47" s="21"/>
      <c r="F47" s="18" t="str">
        <f>IF(B47="","",COUNTIF(الطلبات!$F$6:$F$200,B47))</f>
        <v/>
      </c>
      <c r="G47" s="23" t="str">
        <f t="shared" si="2"/>
        <v/>
      </c>
      <c r="H47" s="23" t="str">
        <f t="shared" si="3"/>
        <v/>
      </c>
      <c r="I47" s="20"/>
      <c r="J47" s="20"/>
      <c r="K47" s="20"/>
    </row>
    <row r="48" spans="2:11">
      <c r="B48" s="20"/>
      <c r="C48" s="20"/>
      <c r="D48" s="21"/>
      <c r="E48" s="21"/>
      <c r="F48" s="18" t="str">
        <f>IF(B48="","",COUNTIF(الطلبات!$F$6:$F$200,B48))</f>
        <v/>
      </c>
      <c r="G48" s="23" t="str">
        <f t="shared" si="2"/>
        <v/>
      </c>
      <c r="H48" s="23" t="str">
        <f t="shared" si="3"/>
        <v/>
      </c>
      <c r="I48" s="20"/>
      <c r="J48" s="20"/>
      <c r="K48" s="20"/>
    </row>
    <row r="49" spans="2:11">
      <c r="B49" s="20"/>
      <c r="C49" s="20"/>
      <c r="D49" s="21"/>
      <c r="E49" s="21"/>
      <c r="F49" s="18" t="str">
        <f>IF(B49="","",COUNTIF(الطلبات!$F$6:$F$200,B49))</f>
        <v/>
      </c>
      <c r="G49" s="23" t="str">
        <f t="shared" si="2"/>
        <v/>
      </c>
      <c r="H49" s="23" t="str">
        <f t="shared" si="3"/>
        <v/>
      </c>
      <c r="I49" s="20"/>
      <c r="J49" s="20"/>
      <c r="K49" s="20"/>
    </row>
    <row r="50" spans="2:11">
      <c r="B50" s="20"/>
      <c r="C50" s="20"/>
      <c r="D50" s="21"/>
      <c r="E50" s="21"/>
      <c r="F50" s="18" t="str">
        <f>IF(B50="","",COUNTIF(الطلبات!$F$6:$F$200,B50))</f>
        <v/>
      </c>
      <c r="G50" s="23" t="str">
        <f t="shared" si="2"/>
        <v/>
      </c>
      <c r="H50" s="23" t="str">
        <f t="shared" si="3"/>
        <v/>
      </c>
      <c r="I50" s="20"/>
      <c r="J50" s="20"/>
      <c r="K50" s="20"/>
    </row>
    <row r="51" spans="2:11">
      <c r="B51" s="20"/>
      <c r="C51" s="20"/>
      <c r="D51" s="21"/>
      <c r="E51" s="21"/>
      <c r="F51" s="18" t="str">
        <f>IF(B51="","",COUNTIF(الطلبات!$F$6:$F$200,B51))</f>
        <v/>
      </c>
      <c r="G51" s="23" t="str">
        <f t="shared" si="2"/>
        <v/>
      </c>
      <c r="H51" s="23" t="str">
        <f t="shared" si="3"/>
        <v/>
      </c>
      <c r="I51" s="20"/>
      <c r="J51" s="20"/>
      <c r="K51" s="20"/>
    </row>
    <row r="52" spans="2:11">
      <c r="B52" s="20"/>
      <c r="C52" s="20"/>
      <c r="D52" s="21"/>
      <c r="E52" s="21"/>
      <c r="F52" s="18" t="str">
        <f>IF(B52="","",COUNTIF(الطلبات!$F$6:$F$200,B52))</f>
        <v/>
      </c>
      <c r="G52" s="23" t="str">
        <f t="shared" si="2"/>
        <v/>
      </c>
      <c r="H52" s="23" t="str">
        <f t="shared" si="3"/>
        <v/>
      </c>
      <c r="I52" s="20"/>
      <c r="J52" s="20"/>
      <c r="K52" s="20"/>
    </row>
    <row r="53" spans="2:11">
      <c r="B53" s="20"/>
      <c r="C53" s="20"/>
      <c r="D53" s="21"/>
      <c r="E53" s="21"/>
      <c r="F53" s="18" t="str">
        <f>IF(B53="","",COUNTIF(الطلبات!$F$6:$F$200,B53))</f>
        <v/>
      </c>
      <c r="G53" s="23" t="str">
        <f t="shared" si="2"/>
        <v/>
      </c>
      <c r="H53" s="23" t="str">
        <f t="shared" si="3"/>
        <v/>
      </c>
      <c r="I53" s="20"/>
      <c r="J53" s="20"/>
      <c r="K53" s="20"/>
    </row>
    <row r="54" spans="2:11">
      <c r="B54" s="20"/>
      <c r="C54" s="20"/>
      <c r="D54" s="21"/>
      <c r="E54" s="21"/>
      <c r="F54" s="18" t="str">
        <f>IF(B54="","",COUNTIF(الطلبات!$F$6:$F$200,B54))</f>
        <v/>
      </c>
      <c r="G54" s="23" t="str">
        <f t="shared" si="2"/>
        <v/>
      </c>
      <c r="H54" s="23" t="str">
        <f t="shared" si="3"/>
        <v/>
      </c>
      <c r="I54" s="20"/>
      <c r="J54" s="20"/>
      <c r="K54" s="20"/>
    </row>
    <row r="55" spans="2:11">
      <c r="B55" s="20"/>
      <c r="C55" s="20"/>
      <c r="D55" s="21"/>
      <c r="E55" s="21"/>
      <c r="F55" s="18" t="str">
        <f>IF(B55="","",COUNTIF(الطلبات!$F$6:$F$200,B55))</f>
        <v/>
      </c>
      <c r="G55" s="23" t="str">
        <f t="shared" si="2"/>
        <v/>
      </c>
      <c r="H55" s="23" t="str">
        <f t="shared" si="3"/>
        <v/>
      </c>
      <c r="I55" s="20"/>
      <c r="J55" s="20"/>
      <c r="K55" s="20"/>
    </row>
    <row r="56" spans="2:11">
      <c r="B56" s="20"/>
      <c r="C56" s="20"/>
      <c r="D56" s="21"/>
      <c r="E56" s="21"/>
      <c r="F56" s="18" t="str">
        <f>IF(B56="","",COUNTIF(الطلبات!$F$6:$F$200,B56))</f>
        <v/>
      </c>
      <c r="G56" s="23" t="str">
        <f t="shared" si="2"/>
        <v/>
      </c>
      <c r="H56" s="23" t="str">
        <f t="shared" si="3"/>
        <v/>
      </c>
      <c r="I56" s="20"/>
      <c r="J56" s="20"/>
      <c r="K56" s="20"/>
    </row>
    <row r="57" spans="2:11">
      <c r="B57" s="20"/>
      <c r="C57" s="20"/>
      <c r="D57" s="21"/>
      <c r="E57" s="21"/>
      <c r="F57" s="18" t="str">
        <f>IF(B57="","",COUNTIF(الطلبات!$F$6:$F$200,B57))</f>
        <v/>
      </c>
      <c r="G57" s="23" t="str">
        <f t="shared" si="2"/>
        <v/>
      </c>
      <c r="H57" s="23" t="str">
        <f t="shared" si="3"/>
        <v/>
      </c>
      <c r="I57" s="20"/>
      <c r="J57" s="20"/>
      <c r="K57" s="20"/>
    </row>
    <row r="58" spans="2:11">
      <c r="B58" s="20"/>
      <c r="C58" s="20"/>
      <c r="D58" s="21"/>
      <c r="E58" s="21"/>
      <c r="F58" s="18" t="str">
        <f>IF(B58="","",COUNTIF(الطلبات!$F$6:$F$200,B58))</f>
        <v/>
      </c>
      <c r="G58" s="23" t="str">
        <f t="shared" si="2"/>
        <v/>
      </c>
      <c r="H58" s="23" t="str">
        <f t="shared" si="3"/>
        <v/>
      </c>
      <c r="I58" s="20"/>
      <c r="J58" s="20"/>
      <c r="K58" s="20"/>
    </row>
    <row r="59" spans="2:11">
      <c r="B59" s="20"/>
      <c r="C59" s="20"/>
      <c r="D59" s="21"/>
      <c r="E59" s="21"/>
      <c r="F59" s="18" t="str">
        <f>IF(B59="","",COUNTIF(الطلبات!$F$6:$F$200,B59))</f>
        <v/>
      </c>
      <c r="G59" s="23" t="str">
        <f t="shared" si="2"/>
        <v/>
      </c>
      <c r="H59" s="23" t="str">
        <f t="shared" si="3"/>
        <v/>
      </c>
      <c r="I59" s="20"/>
      <c r="J59" s="20"/>
      <c r="K59" s="20"/>
    </row>
    <row r="60" spans="2:11">
      <c r="B60" s="20"/>
      <c r="C60" s="20"/>
      <c r="D60" s="21"/>
      <c r="E60" s="21"/>
      <c r="F60" s="18" t="str">
        <f>IF(B60="","",COUNTIF(الطلبات!$F$6:$F$200,B60))</f>
        <v/>
      </c>
      <c r="G60" s="23" t="str">
        <f t="shared" si="2"/>
        <v/>
      </c>
      <c r="H60" s="23" t="str">
        <f t="shared" si="3"/>
        <v/>
      </c>
      <c r="I60" s="20"/>
      <c r="J60" s="20"/>
      <c r="K60" s="20"/>
    </row>
    <row r="61" spans="2:11">
      <c r="B61" s="20"/>
      <c r="C61" s="20"/>
      <c r="D61" s="21"/>
      <c r="E61" s="21"/>
      <c r="F61" s="18" t="str">
        <f>IF(B61="","",COUNTIF(الطلبات!$F$6:$F$200,B61))</f>
        <v/>
      </c>
      <c r="G61" s="23" t="str">
        <f t="shared" si="2"/>
        <v/>
      </c>
      <c r="H61" s="23" t="str">
        <f t="shared" si="3"/>
        <v/>
      </c>
      <c r="I61" s="20"/>
      <c r="J61" s="20"/>
      <c r="K61" s="20"/>
    </row>
    <row r="62" spans="2:11">
      <c r="B62" s="20"/>
      <c r="C62" s="20"/>
      <c r="D62" s="21"/>
      <c r="E62" s="21"/>
      <c r="F62" s="18" t="str">
        <f>IF(B62="","",COUNTIF(الطلبات!$F$6:$F$200,B62))</f>
        <v/>
      </c>
      <c r="G62" s="23" t="str">
        <f t="shared" si="2"/>
        <v/>
      </c>
      <c r="H62" s="23" t="str">
        <f t="shared" si="3"/>
        <v/>
      </c>
      <c r="I62" s="20"/>
      <c r="J62" s="20"/>
      <c r="K62" s="20"/>
    </row>
    <row r="63" spans="2:11">
      <c r="B63" s="20"/>
      <c r="C63" s="20"/>
      <c r="D63" s="21"/>
      <c r="E63" s="21"/>
      <c r="F63" s="18" t="str">
        <f>IF(B63="","",COUNTIF(الطلبات!$F$6:$F$200,B63))</f>
        <v/>
      </c>
      <c r="G63" s="23" t="str">
        <f t="shared" si="2"/>
        <v/>
      </c>
      <c r="H63" s="23" t="str">
        <f t="shared" si="3"/>
        <v/>
      </c>
      <c r="I63" s="20"/>
      <c r="J63" s="20"/>
      <c r="K63" s="20"/>
    </row>
    <row r="64" spans="2:11">
      <c r="B64" s="20"/>
      <c r="C64" s="20"/>
      <c r="D64" s="21"/>
      <c r="E64" s="21"/>
      <c r="F64" s="18" t="str">
        <f>IF(B64="","",COUNTIF(الطلبات!$F$6:$F$200,B64))</f>
        <v/>
      </c>
      <c r="G64" s="23" t="str">
        <f t="shared" si="2"/>
        <v/>
      </c>
      <c r="H64" s="23" t="str">
        <f t="shared" si="3"/>
        <v/>
      </c>
      <c r="I64" s="20"/>
      <c r="J64" s="20"/>
      <c r="K64" s="20"/>
    </row>
    <row r="65" spans="2:11">
      <c r="B65" s="20"/>
      <c r="C65" s="20"/>
      <c r="D65" s="21"/>
      <c r="E65" s="21"/>
      <c r="F65" s="18" t="str">
        <f>IF(B65="","",COUNTIF(الطلبات!$F$6:$F$200,B65))</f>
        <v/>
      </c>
      <c r="G65" s="23" t="str">
        <f t="shared" si="2"/>
        <v/>
      </c>
      <c r="H65" s="23" t="str">
        <f t="shared" si="3"/>
        <v/>
      </c>
      <c r="I65" s="20"/>
      <c r="J65" s="20"/>
      <c r="K65" s="20"/>
    </row>
    <row r="66" spans="2:11">
      <c r="B66" s="20"/>
      <c r="C66" s="20"/>
      <c r="D66" s="21"/>
      <c r="E66" s="21"/>
      <c r="F66" s="18" t="str">
        <f>IF(B66="","",COUNTIF(الطلبات!$F$6:$F$200,B66))</f>
        <v/>
      </c>
      <c r="G66" s="23" t="str">
        <f t="shared" si="2"/>
        <v/>
      </c>
      <c r="H66" s="23" t="str">
        <f t="shared" si="3"/>
        <v/>
      </c>
      <c r="I66" s="20"/>
      <c r="J66" s="20"/>
      <c r="K66" s="20"/>
    </row>
    <row r="67" spans="2:11">
      <c r="B67" s="20"/>
      <c r="C67" s="20"/>
      <c r="D67" s="21"/>
      <c r="E67" s="21"/>
      <c r="F67" s="18" t="str">
        <f>IF(B67="","",COUNTIF(الطلبات!$F$6:$F$200,B67))</f>
        <v/>
      </c>
      <c r="G67" s="23" t="str">
        <f t="shared" si="2"/>
        <v/>
      </c>
      <c r="H67" s="23" t="str">
        <f t="shared" si="3"/>
        <v/>
      </c>
      <c r="I67" s="20"/>
      <c r="J67" s="20"/>
      <c r="K67" s="20"/>
    </row>
    <row r="68" spans="2:11">
      <c r="B68" s="20"/>
      <c r="C68" s="20"/>
      <c r="D68" s="21"/>
      <c r="E68" s="21"/>
      <c r="F68" s="18" t="str">
        <f>IF(B68="","",COUNTIF(الطلبات!$F$6:$F$200,B68))</f>
        <v/>
      </c>
      <c r="G68" s="23" t="str">
        <f t="shared" si="2"/>
        <v/>
      </c>
      <c r="H68" s="23" t="str">
        <f t="shared" si="3"/>
        <v/>
      </c>
      <c r="I68" s="20"/>
      <c r="J68" s="20"/>
      <c r="K68" s="20"/>
    </row>
    <row r="69" spans="2:11">
      <c r="B69" s="20"/>
      <c r="C69" s="20"/>
      <c r="D69" s="21"/>
      <c r="E69" s="21"/>
      <c r="F69" s="18" t="str">
        <f>IF(B69="","",COUNTIF(الطلبات!$F$6:$F$200,B69))</f>
        <v/>
      </c>
      <c r="G69" s="23" t="str">
        <f t="shared" si="2"/>
        <v/>
      </c>
      <c r="H69" s="23" t="str">
        <f t="shared" si="3"/>
        <v/>
      </c>
      <c r="I69" s="20"/>
      <c r="J69" s="20"/>
      <c r="K69" s="20"/>
    </row>
    <row r="70" spans="2:11">
      <c r="B70" s="20"/>
      <c r="C70" s="20"/>
      <c r="D70" s="21"/>
      <c r="E70" s="21"/>
      <c r="F70" s="18" t="str">
        <f>IF(B70="","",COUNTIF(الطلبات!$F$6:$F$200,B70))</f>
        <v/>
      </c>
      <c r="G70" s="23" t="str">
        <f t="shared" ref="G70:G100" si="4">IF(B70="","",E70*F70)</f>
        <v/>
      </c>
      <c r="H70" s="23" t="str">
        <f t="shared" ref="H70:H100" si="5">IF(B70="","",D70+G70)</f>
        <v/>
      </c>
      <c r="I70" s="20"/>
      <c r="J70" s="20"/>
      <c r="K70" s="20"/>
    </row>
    <row r="71" spans="2:11">
      <c r="B71" s="20"/>
      <c r="C71" s="20"/>
      <c r="D71" s="21"/>
      <c r="E71" s="21"/>
      <c r="F71" s="18" t="str">
        <f>IF(B71="","",COUNTIF(الطلبات!$F$6:$F$200,B71))</f>
        <v/>
      </c>
      <c r="G71" s="23" t="str">
        <f t="shared" si="4"/>
        <v/>
      </c>
      <c r="H71" s="23" t="str">
        <f t="shared" si="5"/>
        <v/>
      </c>
      <c r="I71" s="20"/>
      <c r="J71" s="20"/>
      <c r="K71" s="20"/>
    </row>
    <row r="72" spans="2:11">
      <c r="B72" s="20"/>
      <c r="C72" s="20"/>
      <c r="D72" s="21"/>
      <c r="E72" s="21"/>
      <c r="F72" s="18" t="str">
        <f>IF(B72="","",COUNTIF(الطلبات!$F$6:$F$200,B72))</f>
        <v/>
      </c>
      <c r="G72" s="23" t="str">
        <f t="shared" si="4"/>
        <v/>
      </c>
      <c r="H72" s="23" t="str">
        <f t="shared" si="5"/>
        <v/>
      </c>
      <c r="I72" s="20"/>
      <c r="J72" s="20"/>
      <c r="K72" s="20"/>
    </row>
    <row r="73" spans="2:11">
      <c r="B73" s="20"/>
      <c r="C73" s="20"/>
      <c r="D73" s="21"/>
      <c r="E73" s="21"/>
      <c r="F73" s="18" t="str">
        <f>IF(B73="","",COUNTIF(الطلبات!$F$6:$F$200,B73))</f>
        <v/>
      </c>
      <c r="G73" s="23" t="str">
        <f t="shared" si="4"/>
        <v/>
      </c>
      <c r="H73" s="23" t="str">
        <f t="shared" si="5"/>
        <v/>
      </c>
      <c r="I73" s="20"/>
      <c r="J73" s="20"/>
      <c r="K73" s="20"/>
    </row>
    <row r="74" spans="2:11">
      <c r="B74" s="20"/>
      <c r="C74" s="20"/>
      <c r="D74" s="21"/>
      <c r="E74" s="21"/>
      <c r="F74" s="18" t="str">
        <f>IF(B74="","",COUNTIF(الطلبات!$F$6:$F$200,B74))</f>
        <v/>
      </c>
      <c r="G74" s="23" t="str">
        <f t="shared" si="4"/>
        <v/>
      </c>
      <c r="H74" s="23" t="str">
        <f t="shared" si="5"/>
        <v/>
      </c>
      <c r="I74" s="20"/>
      <c r="J74" s="20"/>
      <c r="K74" s="20"/>
    </row>
    <row r="75" spans="2:11">
      <c r="B75" s="20"/>
      <c r="C75" s="20"/>
      <c r="D75" s="21"/>
      <c r="E75" s="21"/>
      <c r="F75" s="18" t="str">
        <f>IF(B75="","",COUNTIF(الطلبات!$F$6:$F$200,B75))</f>
        <v/>
      </c>
      <c r="G75" s="23" t="str">
        <f t="shared" si="4"/>
        <v/>
      </c>
      <c r="H75" s="23" t="str">
        <f t="shared" si="5"/>
        <v/>
      </c>
      <c r="I75" s="20"/>
      <c r="J75" s="20"/>
      <c r="K75" s="20"/>
    </row>
    <row r="76" spans="2:11">
      <c r="B76" s="20"/>
      <c r="C76" s="20"/>
      <c r="D76" s="21"/>
      <c r="E76" s="21"/>
      <c r="F76" s="18" t="str">
        <f>IF(B76="","",COUNTIF(الطلبات!$F$6:$F$200,B76))</f>
        <v/>
      </c>
      <c r="G76" s="23" t="str">
        <f t="shared" si="4"/>
        <v/>
      </c>
      <c r="H76" s="23" t="str">
        <f t="shared" si="5"/>
        <v/>
      </c>
      <c r="I76" s="20"/>
      <c r="J76" s="20"/>
      <c r="K76" s="20"/>
    </row>
    <row r="77" spans="2:11">
      <c r="B77" s="20"/>
      <c r="C77" s="20"/>
      <c r="D77" s="21"/>
      <c r="E77" s="21"/>
      <c r="F77" s="18" t="str">
        <f>IF(B77="","",COUNTIF(الطلبات!$F$6:$F$200,B77))</f>
        <v/>
      </c>
      <c r="G77" s="23" t="str">
        <f t="shared" si="4"/>
        <v/>
      </c>
      <c r="H77" s="23" t="str">
        <f t="shared" si="5"/>
        <v/>
      </c>
      <c r="I77" s="20"/>
      <c r="J77" s="20"/>
      <c r="K77" s="20"/>
    </row>
    <row r="78" spans="2:11">
      <c r="B78" s="20"/>
      <c r="C78" s="20"/>
      <c r="D78" s="21"/>
      <c r="E78" s="21"/>
      <c r="F78" s="18" t="str">
        <f>IF(B78="","",COUNTIF(الطلبات!$F$6:$F$200,B78))</f>
        <v/>
      </c>
      <c r="G78" s="23" t="str">
        <f t="shared" si="4"/>
        <v/>
      </c>
      <c r="H78" s="23" t="str">
        <f t="shared" si="5"/>
        <v/>
      </c>
      <c r="I78" s="20"/>
      <c r="J78" s="20"/>
      <c r="K78" s="20"/>
    </row>
    <row r="79" spans="2:11">
      <c r="B79" s="20"/>
      <c r="C79" s="20"/>
      <c r="D79" s="21"/>
      <c r="E79" s="21"/>
      <c r="F79" s="18" t="str">
        <f>IF(B79="","",COUNTIF(الطلبات!$F$6:$F$200,B79))</f>
        <v/>
      </c>
      <c r="G79" s="23" t="str">
        <f t="shared" si="4"/>
        <v/>
      </c>
      <c r="H79" s="23" t="str">
        <f t="shared" si="5"/>
        <v/>
      </c>
      <c r="I79" s="20"/>
      <c r="J79" s="20"/>
      <c r="K79" s="20"/>
    </row>
    <row r="80" spans="2:11">
      <c r="B80" s="20"/>
      <c r="C80" s="20"/>
      <c r="D80" s="21"/>
      <c r="E80" s="21"/>
      <c r="F80" s="18" t="str">
        <f>IF(B80="","",COUNTIF(الطلبات!$F$6:$F$200,B80))</f>
        <v/>
      </c>
      <c r="G80" s="23" t="str">
        <f t="shared" si="4"/>
        <v/>
      </c>
      <c r="H80" s="23" t="str">
        <f t="shared" si="5"/>
        <v/>
      </c>
      <c r="I80" s="20"/>
      <c r="J80" s="20"/>
      <c r="K80" s="20"/>
    </row>
    <row r="81" spans="2:11">
      <c r="B81" s="20"/>
      <c r="C81" s="20"/>
      <c r="D81" s="21"/>
      <c r="E81" s="21"/>
      <c r="F81" s="18" t="str">
        <f>IF(B81="","",COUNTIF(الطلبات!$F$6:$F$200,B81))</f>
        <v/>
      </c>
      <c r="G81" s="23" t="str">
        <f t="shared" si="4"/>
        <v/>
      </c>
      <c r="H81" s="23" t="str">
        <f t="shared" si="5"/>
        <v/>
      </c>
      <c r="I81" s="20"/>
      <c r="J81" s="20"/>
      <c r="K81" s="20"/>
    </row>
    <row r="82" spans="2:11">
      <c r="B82" s="20"/>
      <c r="C82" s="20"/>
      <c r="D82" s="21"/>
      <c r="E82" s="21"/>
      <c r="F82" s="18" t="str">
        <f>IF(B82="","",COUNTIF(الطلبات!$F$6:$F$200,B82))</f>
        <v/>
      </c>
      <c r="G82" s="23" t="str">
        <f t="shared" si="4"/>
        <v/>
      </c>
      <c r="H82" s="23" t="str">
        <f t="shared" si="5"/>
        <v/>
      </c>
      <c r="I82" s="20"/>
      <c r="J82" s="20"/>
      <c r="K82" s="20"/>
    </row>
    <row r="83" spans="2:11">
      <c r="B83" s="20"/>
      <c r="C83" s="20"/>
      <c r="D83" s="21"/>
      <c r="E83" s="21"/>
      <c r="F83" s="18" t="str">
        <f>IF(B83="","",COUNTIF(الطلبات!$F$6:$F$200,B83))</f>
        <v/>
      </c>
      <c r="G83" s="23" t="str">
        <f t="shared" si="4"/>
        <v/>
      </c>
      <c r="H83" s="23" t="str">
        <f t="shared" si="5"/>
        <v/>
      </c>
      <c r="I83" s="20"/>
      <c r="J83" s="20"/>
      <c r="K83" s="20"/>
    </row>
    <row r="84" spans="2:11">
      <c r="B84" s="20"/>
      <c r="C84" s="20"/>
      <c r="D84" s="21"/>
      <c r="E84" s="21"/>
      <c r="F84" s="18" t="str">
        <f>IF(B84="","",COUNTIF(الطلبات!$F$6:$F$200,B84))</f>
        <v/>
      </c>
      <c r="G84" s="23" t="str">
        <f t="shared" si="4"/>
        <v/>
      </c>
      <c r="H84" s="23" t="str">
        <f t="shared" si="5"/>
        <v/>
      </c>
      <c r="I84" s="20"/>
      <c r="J84" s="20"/>
      <c r="K84" s="20"/>
    </row>
    <row r="85" spans="2:11">
      <c r="B85" s="20"/>
      <c r="C85" s="20"/>
      <c r="D85" s="21"/>
      <c r="E85" s="21"/>
      <c r="F85" s="18" t="str">
        <f>IF(B85="","",COUNTIF(الطلبات!$F$6:$F$200,B85))</f>
        <v/>
      </c>
      <c r="G85" s="23" t="str">
        <f t="shared" si="4"/>
        <v/>
      </c>
      <c r="H85" s="23" t="str">
        <f t="shared" si="5"/>
        <v/>
      </c>
      <c r="I85" s="20"/>
      <c r="J85" s="20"/>
      <c r="K85" s="20"/>
    </row>
    <row r="86" spans="2:11">
      <c r="B86" s="20"/>
      <c r="C86" s="20"/>
      <c r="D86" s="21"/>
      <c r="E86" s="21"/>
      <c r="F86" s="18" t="str">
        <f>IF(B86="","",COUNTIF(الطلبات!$F$6:$F$200,B86))</f>
        <v/>
      </c>
      <c r="G86" s="23" t="str">
        <f t="shared" si="4"/>
        <v/>
      </c>
      <c r="H86" s="23" t="str">
        <f t="shared" si="5"/>
        <v/>
      </c>
      <c r="I86" s="20"/>
      <c r="J86" s="20"/>
      <c r="K86" s="20"/>
    </row>
    <row r="87" spans="2:11">
      <c r="B87" s="20"/>
      <c r="C87" s="20"/>
      <c r="D87" s="21"/>
      <c r="E87" s="21"/>
      <c r="F87" s="18" t="str">
        <f>IF(B87="","",COUNTIF(الطلبات!$F$6:$F$200,B87))</f>
        <v/>
      </c>
      <c r="G87" s="23" t="str">
        <f t="shared" si="4"/>
        <v/>
      </c>
      <c r="H87" s="23" t="str">
        <f t="shared" si="5"/>
        <v/>
      </c>
      <c r="I87" s="20"/>
      <c r="J87" s="20"/>
      <c r="K87" s="20"/>
    </row>
    <row r="88" spans="2:11">
      <c r="B88" s="20"/>
      <c r="C88" s="20"/>
      <c r="D88" s="21"/>
      <c r="E88" s="21"/>
      <c r="F88" s="18" t="str">
        <f>IF(B88="","",COUNTIF(الطلبات!$F$6:$F$200,B88))</f>
        <v/>
      </c>
      <c r="G88" s="23" t="str">
        <f t="shared" si="4"/>
        <v/>
      </c>
      <c r="H88" s="23" t="str">
        <f t="shared" si="5"/>
        <v/>
      </c>
      <c r="I88" s="20"/>
      <c r="J88" s="20"/>
      <c r="K88" s="20"/>
    </row>
    <row r="89" spans="2:11">
      <c r="B89" s="20"/>
      <c r="C89" s="20"/>
      <c r="D89" s="21"/>
      <c r="E89" s="21"/>
      <c r="F89" s="18" t="str">
        <f>IF(B89="","",COUNTIF(الطلبات!$F$6:$F$200,B89))</f>
        <v/>
      </c>
      <c r="G89" s="23" t="str">
        <f t="shared" si="4"/>
        <v/>
      </c>
      <c r="H89" s="23" t="str">
        <f t="shared" si="5"/>
        <v/>
      </c>
      <c r="I89" s="20"/>
      <c r="J89" s="20"/>
      <c r="K89" s="20"/>
    </row>
    <row r="90" spans="2:11">
      <c r="B90" s="20"/>
      <c r="C90" s="20"/>
      <c r="D90" s="21"/>
      <c r="E90" s="21"/>
      <c r="F90" s="18" t="str">
        <f>IF(B90="","",COUNTIF(الطلبات!$F$6:$F$200,B90))</f>
        <v/>
      </c>
      <c r="G90" s="23" t="str">
        <f t="shared" si="4"/>
        <v/>
      </c>
      <c r="H90" s="23" t="str">
        <f t="shared" si="5"/>
        <v/>
      </c>
      <c r="I90" s="20"/>
      <c r="J90" s="20"/>
      <c r="K90" s="20"/>
    </row>
    <row r="91" spans="2:11">
      <c r="B91" s="20"/>
      <c r="C91" s="20"/>
      <c r="D91" s="21"/>
      <c r="E91" s="21"/>
      <c r="F91" s="18" t="str">
        <f>IF(B91="","",COUNTIF(الطلبات!$F$6:$F$200,B91))</f>
        <v/>
      </c>
      <c r="G91" s="23" t="str">
        <f t="shared" si="4"/>
        <v/>
      </c>
      <c r="H91" s="23" t="str">
        <f t="shared" si="5"/>
        <v/>
      </c>
      <c r="I91" s="20"/>
      <c r="J91" s="20"/>
      <c r="K91" s="20"/>
    </row>
    <row r="92" spans="2:11">
      <c r="B92" s="20"/>
      <c r="C92" s="20"/>
      <c r="D92" s="21"/>
      <c r="E92" s="21"/>
      <c r="F92" s="18" t="str">
        <f>IF(B92="","",COUNTIF(الطلبات!$F$6:$F$200,B92))</f>
        <v/>
      </c>
      <c r="G92" s="23" t="str">
        <f t="shared" si="4"/>
        <v/>
      </c>
      <c r="H92" s="23" t="str">
        <f t="shared" si="5"/>
        <v/>
      </c>
      <c r="I92" s="20"/>
      <c r="J92" s="20"/>
      <c r="K92" s="20"/>
    </row>
    <row r="93" spans="2:11">
      <c r="B93" s="20"/>
      <c r="C93" s="20"/>
      <c r="D93" s="21"/>
      <c r="E93" s="21"/>
      <c r="F93" s="18" t="str">
        <f>IF(B93="","",COUNTIF(الطلبات!$F$6:$F$200,B93))</f>
        <v/>
      </c>
      <c r="G93" s="23" t="str">
        <f t="shared" si="4"/>
        <v/>
      </c>
      <c r="H93" s="23" t="str">
        <f t="shared" si="5"/>
        <v/>
      </c>
      <c r="I93" s="20"/>
      <c r="J93" s="20"/>
      <c r="K93" s="20"/>
    </row>
    <row r="94" spans="2:11">
      <c r="B94" s="20"/>
      <c r="C94" s="20"/>
      <c r="D94" s="21"/>
      <c r="E94" s="21"/>
      <c r="F94" s="18" t="str">
        <f>IF(B94="","",COUNTIF(الطلبات!$F$6:$F$200,B94))</f>
        <v/>
      </c>
      <c r="G94" s="23" t="str">
        <f t="shared" si="4"/>
        <v/>
      </c>
      <c r="H94" s="23" t="str">
        <f t="shared" si="5"/>
        <v/>
      </c>
      <c r="I94" s="20"/>
      <c r="J94" s="20"/>
      <c r="K94" s="20"/>
    </row>
    <row r="95" spans="2:11">
      <c r="B95" s="20"/>
      <c r="C95" s="20"/>
      <c r="D95" s="21"/>
      <c r="E95" s="21"/>
      <c r="F95" s="18" t="str">
        <f>IF(B95="","",COUNTIF(الطلبات!$F$6:$F$200,B95))</f>
        <v/>
      </c>
      <c r="G95" s="23" t="str">
        <f t="shared" si="4"/>
        <v/>
      </c>
      <c r="H95" s="23" t="str">
        <f t="shared" si="5"/>
        <v/>
      </c>
      <c r="I95" s="20"/>
      <c r="J95" s="20"/>
      <c r="K95" s="20"/>
    </row>
    <row r="96" spans="2:11">
      <c r="B96" s="20"/>
      <c r="C96" s="20"/>
      <c r="D96" s="21"/>
      <c r="E96" s="21"/>
      <c r="F96" s="18" t="str">
        <f>IF(B96="","",COUNTIF(الطلبات!$F$6:$F$200,B96))</f>
        <v/>
      </c>
      <c r="G96" s="23" t="str">
        <f t="shared" si="4"/>
        <v/>
      </c>
      <c r="H96" s="23" t="str">
        <f t="shared" si="5"/>
        <v/>
      </c>
      <c r="I96" s="20"/>
      <c r="J96" s="20"/>
      <c r="K96" s="20"/>
    </row>
    <row r="97" spans="2:11">
      <c r="B97" s="20"/>
      <c r="C97" s="20"/>
      <c r="D97" s="21"/>
      <c r="E97" s="21"/>
      <c r="F97" s="18" t="str">
        <f>IF(B97="","",COUNTIF(الطلبات!$F$6:$F$200,B97))</f>
        <v/>
      </c>
      <c r="G97" s="23" t="str">
        <f t="shared" si="4"/>
        <v/>
      </c>
      <c r="H97" s="23" t="str">
        <f t="shared" si="5"/>
        <v/>
      </c>
      <c r="I97" s="20"/>
      <c r="J97" s="20"/>
      <c r="K97" s="20"/>
    </row>
    <row r="98" spans="2:11">
      <c r="B98" s="20"/>
      <c r="C98" s="20"/>
      <c r="D98" s="21"/>
      <c r="E98" s="21"/>
      <c r="F98" s="18" t="str">
        <f>IF(B98="","",COUNTIF(الطلبات!$F$6:$F$200,B98))</f>
        <v/>
      </c>
      <c r="G98" s="23" t="str">
        <f t="shared" si="4"/>
        <v/>
      </c>
      <c r="H98" s="23" t="str">
        <f t="shared" si="5"/>
        <v/>
      </c>
      <c r="I98" s="20"/>
      <c r="J98" s="20"/>
      <c r="K98" s="20"/>
    </row>
    <row r="99" spans="2:11">
      <c r="B99" s="20"/>
      <c r="C99" s="20"/>
      <c r="D99" s="21"/>
      <c r="E99" s="21"/>
      <c r="F99" s="18" t="str">
        <f>IF(B99="","",COUNTIF(الطلبات!$F$6:$F$200,B99))</f>
        <v/>
      </c>
      <c r="G99" s="23" t="str">
        <f t="shared" si="4"/>
        <v/>
      </c>
      <c r="H99" s="23" t="str">
        <f t="shared" si="5"/>
        <v/>
      </c>
      <c r="I99" s="20"/>
      <c r="J99" s="20"/>
      <c r="K99" s="20"/>
    </row>
    <row r="100" spans="2:11">
      <c r="B100" s="20"/>
      <c r="C100" s="20"/>
      <c r="D100" s="21"/>
      <c r="E100" s="21"/>
      <c r="F100" s="18" t="str">
        <f>IF(B100="","",COUNTIF(الطلبات!$F$6:$F$200,B100))</f>
        <v/>
      </c>
      <c r="G100" s="23" t="str">
        <f t="shared" si="4"/>
        <v/>
      </c>
      <c r="H100" s="23" t="str">
        <f t="shared" si="5"/>
        <v/>
      </c>
      <c r="I100" s="20"/>
      <c r="J100" s="20"/>
      <c r="K100" s="20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لوحة التحكم</vt:lpstr>
      <vt:lpstr>الطلبات</vt:lpstr>
      <vt:lpstr>الإعلانات</vt:lpstr>
      <vt:lpstr>الموظفين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Mohamed Reda Mohamed Abdalaziz</cp:lastModifiedBy>
  <cp:revision>0</cp:revision>
  <dcterms:created xsi:type="dcterms:W3CDTF">2026-08-01T02:21:45Z</dcterms:created>
  <dcterms:modified xsi:type="dcterms:W3CDTF">2026-08-11T11:18:47Z</dcterms:modified>
  <dc:language>en-US</dc:language>
</cp:coreProperties>
</file>